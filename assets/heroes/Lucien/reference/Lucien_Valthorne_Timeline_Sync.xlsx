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22a43b425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FX Index" sheetId="1" r:id="R1b3030b6a0304777"/>
    <x:sheet xmlns:r="http://schemas.openxmlformats.org/officeDocument/2006/relationships" name="S1 Black Benediction" sheetId="2" r:id="R8cce608659a544cf"/>
    <x:sheet xmlns:r="http://schemas.openxmlformats.org/officeDocument/2006/relationships" name="S2 Martyrs Veil" sheetId="3" r:id="R4dad4d1c03de4ab0"/>
    <x:sheet xmlns:r="http://schemas.openxmlformats.org/officeDocument/2006/relationships" name="ULT Black Miracle" sheetId="4" r:id="Rd15c83df4c6a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sz val="10"/>
      <x:color rgb="FF252538"/>
      <x:name val="Arial"/>
    </x:font>
    <x:font>
      <x:b/>
      <x:sz val="16"/>
      <x:color rgb="FF3E3559"/>
      <x:name val="Arial"/>
    </x:font>
    <x:font>
      <x:b/>
      <x:sz val="10"/>
      <x:color rgb="FFFFFFFF"/>
      <x:name val="Arial"/>
    </x:font>
    <x:font>
      <x:b/>
      <x:sz val="16"/>
      <x:color rgb="FF236F73"/>
      <x:name val="Arial"/>
    </x:font>
    <x:font>
      <x:b/>
      <x:sz val="16"/>
      <x:color rgb="FF865234"/>
      <x:name val="Arial"/>
    </x:font>
    <x:font>
      <x:b/>
      <x:sz val="16"/>
      <x:color rgb="FF30283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0C2"/>
      </x:patternFill>
    </x:fill>
    <x:fill>
      <x:patternFill patternType="solid">
        <x:fgColor rgb="FF3E3559"/>
      </x:patternFill>
    </x:fill>
    <x:fill>
      <x:patternFill patternType="solid">
        <x:fgColor rgb="FFF2F3F7"/>
      </x:patternFill>
    </x:fill>
    <x:fill>
      <x:patternFill patternType="solid">
        <x:fgColor rgb="FF236F73"/>
      </x:patternFill>
    </x:fill>
    <x:fill>
      <x:patternFill patternType="solid">
        <x:fgColor rgb="FF865234"/>
      </x:patternFill>
    </x:fill>
    <x:fill>
      <x:patternFill patternType="solid">
        <x:fgColor rgb="FF30283F"/>
      </x:patternFill>
    </x:fill>
    <x:fill>
      <x:patternFill patternType="solid">
        <x:fgColor rgb="FFE7E2F0"/>
      </x:patternFill>
    </x:fill>
    <x:fill>
      <x:patternFill patternType="solid">
        <x:fgColor rgb="FFDCEFED"/>
      </x:patternFill>
    </x:fill>
    <x:fill>
      <x:patternFill patternType="solid">
        <x:fgColor rgb="FFF4E6D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d78c4f2b74112" /><Relationship Type="http://schemas.openxmlformats.org/officeDocument/2006/relationships/theme" Target="/xl/theme/theme1.xml" Id="Rd5c13d2989cf4b50" /><Relationship Type="http://schemas.openxmlformats.org/officeDocument/2006/relationships/sharedStrings" Target="/xl/sharedStrings.xml" Id="R19e650d55b8b4529" /><Relationship Type="http://schemas.openxmlformats.org/officeDocument/2006/relationships/worksheet" Target="/xl/worksheets/sheet1.xml" Id="R1b3030b6a0304777" /><Relationship Type="http://schemas.openxmlformats.org/officeDocument/2006/relationships/worksheet" Target="/xl/worksheets/sheet2.xml" Id="R8cce608659a544cf" /><Relationship Type="http://schemas.openxmlformats.org/officeDocument/2006/relationships/worksheet" Target="/xl/worksheets/sheet3.xml" Id="R4dad4d1c03de4ab0" /><Relationship Type="http://schemas.openxmlformats.org/officeDocument/2006/relationships/worksheet" Target="/xl/worksheets/sheet4.xml" Id="Rd15c83df4c6a48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0283F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4" hidden="0" customWidth="1"/>
    <x:col min="2" max="2" width="4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4" hidden="0" customWidth="1"/>
    <x:col min="8" max="8" width="24" hidden="0" customWidth="1"/>
    <x:col min="9" max="9" width="32" hidden="0" customWidth="1"/>
    <x:col min="10" max="10" width="37" hidden="0" customWidth="1"/>
    <x:col min="11" max="11" width="39" hidden="0" customWidth="1"/>
    <x:col min="12" max="12" width="23" hidden="0" customWidth="1"/>
    <x:col min="13" max="13" width="23" hidden="0" customWidth="1"/>
  </x:cols>
  <x:sheetData>
    <x:row r="1" ht="4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23" t="str">
        <x:v>Lucien Valthorne · Timeline Sync Sheets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2" customHeight="1">
      <x:c r="A3" s="3" t="str">
        <x:v>Mechanics and VFX names: current user request. Referenced chat confirms four Ultimate VFX names; accessible history contains no approved pose sheet or exact sprite frames.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3" t="str">
        <x:v>Source: “สร้างกฎ Dark Fantasy” · chatgpt-conversation://6acfc2d4-45e8-83ec-8aaf-f43de91a8fe8 · read 2026-10-28. No external lore or additional mechanics used.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2" customHeight="1">
      <x:c r="A5" s="3" t="str">
        <x:v>Legend: purple = S1, teal = S2, bronze = Ultimate. Amber = editable mapping/input. All timings, motion and sockets are proposals; mechanics/names follow the request.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4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36" customHeight="1">
      <x:c r="A7" s="27" t="str">
        <x:v>Skill</x:v>
      </x:c>
      <x:c r="B7" s="27" t="str">
        <x:v>Approved VFX name / optional role</x:v>
      </x:c>
      <x:c r="C7" s="27" t="str">
        <x:v>Event</x:v>
      </x:c>
      <x:c r="D7" s="27" t="str">
        <x:v>Start (s)</x:v>
      </x:c>
      <x:c r="E7" s="27" t="str">
        <x:v>End (s)</x:v>
      </x:c>
      <x:c r="F7" s="27" t="str">
        <x:v>Lifetime</x:v>
      </x:c>
      <x:c r="G7" s="27" t="str">
        <x:v>Spawn anchor (proposed)</x:v>
      </x:c>
      <x:c r="H7" s="27" t="str">
        <x:v>Recipient</x:v>
      </x:c>
      <x:c r="I7" s="27" t="str">
        <x:v>Gameplay purpose</x:v>
      </x:c>
      <x:c r="J7" s="27" t="str">
        <x:v>Reuse / loop</x:v>
      </x:c>
      <x:c r="K7" s="27" t="str">
        <x:v>Lock dependency</x:v>
      </x:c>
      <x:c r="L7" s="27" t="str">
        <x:v>Timing status</x:v>
      </x:c>
      <x:c r="M7" s="27" t="str">
        <x:v>Asset status</x:v>
      </x:c>
    </x:row>
    <x:row r="8" ht="112" customHeight="1">
      <x:c r="A8" s="28" t="str">
        <x:v>S1</x:v>
      </x:c>
      <x:c r="B8" s="28" t="str">
        <x:v>Lucien_S1_CastPrayer_VFX</x:v>
      </x:c>
      <x:c r="C8" s="3" t="str">
        <x:v>S1_CAST_START</x:v>
      </x:c>
      <x:c r="D8" s="12" t="n">
        <x:f>'S1 Black Benediction'!C18</x:f>
        <x:v>0</x:v>
      </x:c>
      <x:c r="E8" s="12" t="n">
        <x:f>'S1 Black Benediction'!F18</x:f>
        <x:v>0.5</x:v>
      </x:c>
      <x:c r="F8" s="3" t="str">
        <x:v>Transient</x:v>
      </x:c>
      <x:c r="G8" s="3" t="str">
        <x:v>Lucien prayer hand / staff head</x:v>
      </x:c>
      <x:c r="H8" s="3" t="str">
        <x:v>Lucien</x:v>
      </x:c>
      <x:c r="I8" s="3" t="str">
        <x:v>Immediate heal to the lowest-HP ally, plus Burden gain on Lucien. Heal is not delayed by prayer animation.</x:v>
      </x:c>
      <x:c r="J8" s="3" t="str">
        <x:v>One-shot; hold may stretch visually</x:v>
      </x:c>
      <x:c r="K8" s="3" t="str">
        <x:v>Final sprite IDs / sockets / timing</x:v>
      </x:c>
      <x:c r="L8" s="3" t="str">
        <x:v>Proposed</x:v>
      </x:c>
      <x:c r="M8" s="3" t="str">
        <x:v>Requested name</x:v>
      </x:c>
    </x:row>
    <x:row r="9" ht="112" customHeight="1">
      <x:c r="A9" s="28" t="str">
        <x:v>S1</x:v>
      </x:c>
      <x:c r="B9" s="28" t="str">
        <x:v>Lucien_S1_HealBurst_VFX</x:v>
      </x:c>
      <x:c r="C9" s="3" t="str">
        <x:v>S1_HEAL_COMMIT</x:v>
      </x:c>
      <x:c r="D9" s="12" t="n">
        <x:f>'S1 Black Benediction'!C19</x:f>
        <x:v>0</x:v>
      </x:c>
      <x:c r="E9" s="12" t="n">
        <x:f>'S1 Black Benediction'!F19</x:f>
        <x:v>0.35</x:v>
      </x:c>
      <x:c r="F9" s="3" t="str">
        <x:v>Transient</x:v>
      </x:c>
      <x:c r="G9" s="3" t="str">
        <x:v>Ally torso, with ground-aligned base if needed</x:v>
      </x:c>
      <x:c r="H9" s="3" t="str">
        <x:v>Lowest-HP eligible ally</x:v>
      </x:c>
      <x:c r="I9" s="3" t="str">
        <x:v>Immediate heal to the lowest-HP ally, plus Burden gain on Lucien. Heal is not delayed by prayer animation.</x:v>
      </x:c>
      <x:c r="J9" s="3" t="str">
        <x:v>One-shot per successful heal</x:v>
      </x:c>
      <x:c r="K9" s="3" t="str">
        <x:v>Final sprite IDs / sockets / timing</x:v>
      </x:c>
      <x:c r="L9" s="3" t="str">
        <x:v>Proposed</x:v>
      </x:c>
      <x:c r="M9" s="3" t="str">
        <x:v>Requested name</x:v>
      </x:c>
    </x:row>
    <x:row r="10" ht="112" customHeight="1">
      <x:c r="A10" s="28" t="str">
        <x:v>S1</x:v>
      </x:c>
      <x:c r="B10" s="28" t="str">
        <x:v>Lucien_S1_BurdenGain_VFX</x:v>
      </x:c>
      <x:c r="C10" s="3" t="str">
        <x:v>S1_HEAL_COMMIT</x:v>
      </x:c>
      <x:c r="D10" s="12" t="n">
        <x:f>'S1 Black Benediction'!C20</x:f>
        <x:v>0</x:v>
      </x:c>
      <x:c r="E10" s="12" t="n">
        <x:f>'S1 Black Benediction'!F20</x:f>
        <x:v>0.5</x:v>
      </x:c>
      <x:c r="F10" s="3" t="str">
        <x:v>Transient</x:v>
      </x:c>
      <x:c r="G10" s="3" t="str">
        <x:v>Lucien torso / burden anchor</x:v>
      </x:c>
      <x:c r="H10" s="3" t="str">
        <x:v>Lucien</x:v>
      </x:c>
      <x:c r="I10" s="3" t="str">
        <x:v>Immediate heal to the lowest-HP ally, plus Burden gain on Lucien. Heal is not delayed by prayer animation.</x:v>
      </x:c>
      <x:c r="J10" s="3" t="str">
        <x:v>One-shot per confirmed gain</x:v>
      </x:c>
      <x:c r="K10" s="3" t="str">
        <x:v>Final sprite IDs / sockets / timing</x:v>
      </x:c>
      <x:c r="L10" s="3" t="str">
        <x:v>Proposed</x:v>
      </x:c>
      <x:c r="M10" s="3" t="str">
        <x:v>Requested name</x:v>
      </x:c>
    </x:row>
    <x:row r="11" ht="112" customHeight="1">
      <x:c r="A11" s="29" t="str">
        <x:v>S2</x:v>
      </x:c>
      <x:c r="B11" s="29" t="str">
        <x:v>Lucien_S2_LinkSource_VFX</x:v>
      </x:c>
      <x:c r="C11" s="3" t="str">
        <x:v>S2_LINK_START</x:v>
      </x:c>
      <x:c r="D11" s="12" t="n">
        <x:f>'S2 Martyrs Veil'!C19</x:f>
        <x:v>0.2</x:v>
      </x:c>
      <x:c r="E11" s="12" t="n">
        <x:f>'S2 Martyrs Veil'!F19</x:f>
        <x:v>1.3</x:v>
      </x:c>
      <x:c r="F11" s="3" t="str">
        <x:v>Transient</x:v>
      </x:c>
      <x:c r="G11" s="3" t="str">
        <x:v>Ally torso / burden-source anchor</x:v>
      </x:c>
      <x:c r="H11" s="3" t="str">
        <x:v>Selected ally</x:v>
      </x:c>
      <x:c r="I11" s="3" t="str">
        <x:v>Connect to an ally, absorb their burden, and store it on Lucien. Transfer quantity, eligible burden types and duration remain unspecified.</x:v>
      </x:c>
      <x:c r="J11" s="3" t="str">
        <x:v>Loop during valid link only</x:v>
      </x:c>
      <x:c r="K11" s="3" t="str">
        <x:v>Final sprite IDs / sockets / timing</x:v>
      </x:c>
      <x:c r="L11" s="3" t="str">
        <x:v>Proposed</x:v>
      </x:c>
      <x:c r="M11" s="3" t="str">
        <x:v>Requested name</x:v>
      </x:c>
    </x:row>
    <x:row r="12" ht="112" customHeight="1">
      <x:c r="A12" s="29" t="str">
        <x:v>S2</x:v>
      </x:c>
      <x:c r="B12" s="29" t="str">
        <x:v>Lucien_S2_BurdenLink_VFX</x:v>
      </x:c>
      <x:c r="C12" s="3" t="str">
        <x:v>S2_LINK_START</x:v>
      </x:c>
      <x:c r="D12" s="12" t="n">
        <x:f>'S2 Martyrs Veil'!C20</x:f>
        <x:v>0.2</x:v>
      </x:c>
      <x:c r="E12" s="12" t="n">
        <x:f>'S2 Martyrs Veil'!F20</x:f>
        <x:v>1.3</x:v>
      </x:c>
      <x:c r="F12" s="3" t="str">
        <x:v>Transient</x:v>
      </x:c>
      <x:c r="G12" s="3" t="str">
        <x:v>Two endpoints: ally torso to Lucien torso/hand</x:v>
      </x:c>
      <x:c r="H12" s="3" t="str">
        <x:v>Ally → Lucien</x:v>
      </x:c>
      <x:c r="I12" s="3" t="str">
        <x:v>Connect to an ally, absorb their burden, and store it on Lucien. Transfer quantity, eligible burden types and duration remain unspecified.</x:v>
      </x:c>
      <x:c r="J12" s="3" t="str">
        <x:v>Loop middle segment; stretch endpoints</x:v>
      </x:c>
      <x:c r="K12" s="3" t="str">
        <x:v>Final sprite IDs / sockets / timing</x:v>
      </x:c>
      <x:c r="L12" s="3" t="str">
        <x:v>Proposed</x:v>
      </x:c>
      <x:c r="M12" s="3" t="str">
        <x:v>Requested name</x:v>
      </x:c>
    </x:row>
    <x:row r="13" ht="112" customHeight="1">
      <x:c r="A13" s="29" t="str">
        <x:v>S2</x:v>
      </x:c>
      <x:c r="B13" s="29" t="str">
        <x:v>Lucien_S2_BurdenAbsorb_VFX</x:v>
      </x:c>
      <x:c r="C13" s="3" t="str">
        <x:v>S2_TRANSFER_COMMIT</x:v>
      </x:c>
      <x:c r="D13" s="12" t="n">
        <x:f>'S2 Martyrs Veil'!C21</x:f>
        <x:v>0.6</x:v>
      </x:c>
      <x:c r="E13" s="12" t="n">
        <x:f>'S2 Martyrs Veil'!F21</x:f>
        <x:v>1.25</x:v>
      </x:c>
      <x:c r="F13" s="3" t="str">
        <x:v>Transient</x:v>
      </x:c>
      <x:c r="G13" s="3" t="str">
        <x:v>Along link into Lucien torso</x:v>
      </x:c>
      <x:c r="H13" s="3" t="str">
        <x:v>Lucien as receiver</x:v>
      </x:c>
      <x:c r="I13" s="3" t="str">
        <x:v>Connect to an ally, absorb their burden, and store it on Lucien. Transfer quantity, eligible burden types and duration remain unspecified.</x:v>
      </x:c>
      <x:c r="J13" s="3" t="str">
        <x:v>One-shot per confirmed transfer</x:v>
      </x:c>
      <x:c r="K13" s="3" t="str">
        <x:v>Final sprite IDs / sockets / timing</x:v>
      </x:c>
      <x:c r="L13" s="3" t="str">
        <x:v>Proposed</x:v>
      </x:c>
      <x:c r="M13" s="3" t="str">
        <x:v>Requested name</x:v>
      </x:c>
    </x:row>
    <x:row r="14" ht="112" customHeight="1">
      <x:c r="A14" s="29" t="str">
        <x:v>S2</x:v>
      </x:c>
      <x:c r="B14" s="29" t="str">
        <x:v>Lucien_S2_SacredBurdenStack_VFX</x:v>
      </x:c>
      <x:c r="C14" s="3" t="str">
        <x:v>S2_STORAGE_UPDATED</x:v>
      </x:c>
      <x:c r="D14" s="12" t="n">
        <x:f>'S2 Martyrs Veil'!C22</x:f>
        <x:v>1</x:v>
      </x:c>
      <x:c r="E14" s="12" t="str">
        <x:f>"State-driven"</x:f>
        <x:v>State-driven</x:v>
      </x:c>
      <x:c r="F14" s="3" t="str">
        <x:v>State-driven</x:v>
      </x:c>
      <x:c r="G14" s="3" t="str">
        <x:v>Lucien burden anchor / torso</x:v>
      </x:c>
      <x:c r="H14" s="3" t="str">
        <x:v>Lucien</x:v>
      </x:c>
      <x:c r="I14" s="3" t="str">
        <x:v>Connect to an ally, absorb their burden, and store it on Lucien. Transfer quantity, eligible burden types and duration remain unspecified.</x:v>
      </x:c>
      <x:c r="J14" s="3" t="str">
        <x:v>Persistent loop shared across casts</x:v>
      </x:c>
      <x:c r="K14" s="3" t="str">
        <x:v>Final sprite IDs / sockets / timing</x:v>
      </x:c>
      <x:c r="L14" s="3" t="str">
        <x:v>Proposed</x:v>
      </x:c>
      <x:c r="M14" s="3" t="str">
        <x:v>Requested name</x:v>
      </x:c>
    </x:row>
    <x:row r="15" ht="112" customHeight="1">
      <x:c r="A15" s="30" t="str">
        <x:v>ULT</x:v>
      </x:c>
      <x:c r="B15" s="30" t="str">
        <x:v>Lucien_ULT_StaffCharge_VFX</x:v>
      </x:c>
      <x:c r="C15" s="3" t="str">
        <x:v>ULT_CAST_START</x:v>
      </x:c>
      <x:c r="D15" s="12" t="n">
        <x:f>'ULT Black Miracle'!C21</x:f>
        <x:v>0</x:v>
      </x:c>
      <x:c r="E15" s="12" t="n">
        <x:f>'ULT Black Miracle'!F21</x:f>
        <x:v>2.85</x:v>
      </x:c>
      <x:c r="F15" s="3" t="str">
        <x:v>Transient</x:v>
      </x:c>
      <x:c r="G15" s="3" t="str">
        <x:v>Staff head / staff socket</x:v>
      </x:c>
      <x:c r="H15" s="3" t="str">
        <x:v>Lucien</x:v>
      </x:c>
      <x:c r="I15" s="3" t="str">
        <x:v>Long ritual charge, then release stored Burden into team healing, protection and delayed recovery. Numeric scaling, buff duration and delay are not locked.</x:v>
      </x:c>
      <x:c r="J15" s="3" t="str">
        <x:v>Loop middle segment; parameterize charge duration</x:v>
      </x:c>
      <x:c r="K15" s="3" t="str">
        <x:v>Final sprite IDs / sockets / timing</x:v>
      </x:c>
      <x:c r="L15" s="3" t="str">
        <x:v>Proposed</x:v>
      </x:c>
      <x:c r="M15" s="3" t="str">
        <x:v>Requested name</x:v>
      </x:c>
    </x:row>
    <x:row r="16" ht="112" customHeight="1">
      <x:c r="A16" s="30" t="str">
        <x:v>ULT</x:v>
      </x:c>
      <x:c r="B16" s="30" t="str">
        <x:v>Lucien_ULT_SacredAshAuraLoop_VFX</x:v>
      </x:c>
      <x:c r="C16" s="3" t="str">
        <x:v>ULT_CHARGE_BUILD</x:v>
      </x:c>
      <x:c r="D16" s="12" t="n">
        <x:f>'ULT Black Miracle'!C22</x:f>
        <x:v>0.4</x:v>
      </x:c>
      <x:c r="E16" s="12" t="n">
        <x:f>'ULT Black Miracle'!F22</x:f>
        <x:v>3</x:v>
      </x:c>
      <x:c r="F16" s="3" t="str">
        <x:v>Transient</x:v>
      </x:c>
      <x:c r="G16" s="3" t="str">
        <x:v>Lucien root / ground ring with torso ash</x:v>
      </x:c>
      <x:c r="H16" s="3" t="str">
        <x:v>Lucien</x:v>
      </x:c>
      <x:c r="I16" s="3" t="str">
        <x:v>Long ritual charge, then release stored Burden into team healing, protection and delayed recovery. Numeric scaling, buff duration and delay are not locked.</x:v>
      </x:c>
      <x:c r="J16" s="3" t="str">
        <x:v>Seamless ritual loop</x:v>
      </x:c>
      <x:c r="K16" s="3" t="str">
        <x:v>Final sprite IDs / sockets / timing</x:v>
      </x:c>
      <x:c r="L16" s="3" t="str">
        <x:v>Proposed</x:v>
      </x:c>
      <x:c r="M16" s="3" t="str">
        <x:v>Requested name</x:v>
      </x:c>
    </x:row>
    <x:row r="17" ht="112" customHeight="1">
      <x:c r="A17" s="30" t="str">
        <x:v>ULT</x:v>
      </x:c>
      <x:c r="B17" s="30" t="str">
        <x:v>Lucien_ULT_BurdenRelease_VFX</x:v>
      </x:c>
      <x:c r="C17" s="3" t="str">
        <x:v>ULT_RELEASE_COMMIT</x:v>
      </x:c>
      <x:c r="D17" s="12" t="n">
        <x:f>'ULT Black Miracle'!C23</x:f>
        <x:v>2.6</x:v>
      </x:c>
      <x:c r="E17" s="12" t="n">
        <x:f>'ULT Black Miracle'!F23</x:f>
        <x:v>3.2</x:v>
      </x:c>
      <x:c r="F17" s="3" t="str">
        <x:v>Transient</x:v>
      </x:c>
      <x:c r="G17" s="3" t="str">
        <x:v>Lucien burden anchor outward from torso/staff</x:v>
      </x:c>
      <x:c r="H17" s="3" t="str">
        <x:v>Lucien to team-facing space</x:v>
      </x:c>
      <x:c r="I17" s="3" t="str">
        <x:v>Long ritual charge, then release stored Burden into team healing, protection and delayed recovery. Numeric scaling, buff duration and delay are not locked.</x:v>
      </x:c>
      <x:c r="J17" s="3" t="str">
        <x:v>One-shot per release</x:v>
      </x:c>
      <x:c r="K17" s="3" t="str">
        <x:v>Final sprite IDs / sockets / timing</x:v>
      </x:c>
      <x:c r="L17" s="3" t="str">
        <x:v>Proposed</x:v>
      </x:c>
      <x:c r="M17" s="3" t="str">
        <x:v>Requested name</x:v>
      </x:c>
    </x:row>
    <x:row r="18" ht="112" customHeight="1">
      <x:c r="A18" s="30" t="str">
        <x:v>ULT</x:v>
      </x:c>
      <x:c r="B18" s="30" t="str">
        <x:v>Lucien_ULT_TeamHealingWave_VFX</x:v>
      </x:c>
      <x:c r="C18" s="3" t="str">
        <x:v>ULT_RELEASE_COMMIT</x:v>
      </x:c>
      <x:c r="D18" s="12" t="n">
        <x:f>'ULT Black Miracle'!C24</x:f>
        <x:v>2.6</x:v>
      </x:c>
      <x:c r="E18" s="12" t="n">
        <x:f>'ULT Black Miracle'!F24</x:f>
        <x:v>3.4</x:v>
      </x:c>
      <x:c r="F18" s="3" t="str">
        <x:v>Transient</x:v>
      </x:c>
      <x:c r="G18" s="3" t="str">
        <x:v>World origin at Lucien root, ally receive anchors</x:v>
      </x:c>
      <x:c r="H18" s="3" t="str">
        <x:v>Eligible team allies</x:v>
      </x:c>
      <x:c r="I18" s="3" t="str">
        <x:v>Long ritual charge, then release stored Burden into team healing, protection and delayed recovery. Numeric scaling, buff duration and delay are not locked.</x:v>
      </x:c>
      <x:c r="J18" s="3" t="str">
        <x:v>One-shot; optional per-ally receive instances</x:v>
      </x:c>
      <x:c r="K18" s="3" t="str">
        <x:v>Final sprite IDs / sockets / timing</x:v>
      </x:c>
      <x:c r="L18" s="3" t="str">
        <x:v>Proposed</x:v>
      </x:c>
      <x:c r="M18" s="3" t="str">
        <x:v>Requested name</x:v>
      </x:c>
    </x:row>
    <x:row r="19" ht="112" customHeight="1">
      <x:c r="A19" s="30" t="str">
        <x:v>ULT</x:v>
      </x:c>
      <x:c r="B19" s="30" t="str">
        <x:v>Merged residual buff (optional)</x:v>
      </x:c>
      <x:c r="C19" s="3" t="str">
        <x:v>ULT_BUFF_APPLY</x:v>
      </x:c>
      <x:c r="D19" s="12" t="n">
        <x:f>'ULT Black Miracle'!C25</x:f>
        <x:v>2.6</x:v>
      </x:c>
      <x:c r="E19" s="12" t="str">
        <x:f>"State-driven"</x:f>
        <x:v>State-driven</x:v>
      </x:c>
      <x:c r="F19" s="3" t="str">
        <x:v>State-driven</x:v>
      </x:c>
      <x:c r="G19" s="3" t="str">
        <x:v>Each affected ally torso / halo anchor</x:v>
      </x:c>
      <x:c r="H19" s="3" t="str">
        <x:v>Buffed team allies</x:v>
      </x:c>
      <x:c r="I19" s="3" t="str">
        <x:v>Long ritual charge, then release stored Burden into team healing, protection and delayed recovery. Numeric scaling, buff duration and delay are not locked.</x:v>
      </x:c>
      <x:c r="J19" s="3" t="str">
        <x:v>Reuse wave residual material / pooled buff instance</x:v>
      </x:c>
      <x:c r="K19" s="3" t="str">
        <x:v>Optional merged role; no new asset ID</x:v>
      </x:c>
      <x:c r="L19" s="3" t="str">
        <x:v>Proposed</x:v>
      </x:c>
      <x:c r="M19" s="3" t="str">
        <x:v>Optional merged role</x:v>
      </x:c>
    </x:row>
    <x:row r="20" ht="4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</x:row>
    <x:row r="21" ht="24" customHeight="1">
      <x:c r="A21" s="25" t="str">
        <x:v>Production decisions still required</x:v>
      </x:c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</x:row>
    <x:row r="22" ht="32" customHeight="1">
      <x:c r="A22" s="3" t="str">
        <x:v>S1: confirm lowest-HP definition (absolute HP or HP ratio), eligibility, tie-break, heal amount and Burden gain. Immediate heal is fixed; proposed visual timing must preserve it.</x:v>
      </x:c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 ht="32" customHeight="1">
      <x:c r="A23" s="3" t="str">
        <x:v>S2: confirm transfer eligibility/types, amount, commit point, link duration/break rules and storage cap. No ongoing damage redirect, shield or debuff cleanse is implied.</x:v>
      </x:c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32" customHeight="1">
      <x:c r="A24" s="3" t="str">
        <x:v>Ultimate: confirm charge length, burden consumption/scaling, heal timing, protection behavior, recovery delay and buff duration. Optional ProtectionHalo/DelayedRecovery remain one merged residual role.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32" customHeight="1">
      <x:c r="A25" s="3" t="str">
        <x:v>Handoff status: structured for production review; final animation/VFX lock awaits approved action reference and sprite mapping. Blank sprite inputs are intentional, not frame zero.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4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4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4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4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4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4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4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4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4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4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4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4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4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4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4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4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4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</x:sheetData>
  <x:mergeCells>
    <x:mergeCell ref="A2:M2"/>
    <x:mergeCell ref="A3:M3"/>
    <x:mergeCell ref="A4:M4"/>
    <x:mergeCell ref="A5:M5"/>
    <x:mergeCell ref="A21:M21"/>
    <x:mergeCell ref="A22:M22"/>
    <x:mergeCell ref="A23:M23"/>
    <x:mergeCell ref="A24:M24"/>
    <x:mergeCell ref="A25:M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E3559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9" hidden="0" customWidth="1"/>
    <x:col min="2" max="2" width="2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4" hidden="0" customWidth="1"/>
    <x:col min="8" max="8" width="24" hidden="0" customWidth="1"/>
    <x:col min="9" max="9" width="32" hidden="0" customWidth="1"/>
    <x:col min="10" max="10" width="37" hidden="0" customWidth="1"/>
    <x:col min="11" max="11" width="39" hidden="0" customWidth="1"/>
    <x:col min="12" max="12" width="23" hidden="0" customWidth="1"/>
    <x:col min="13" max="13" width="23" hidden="0" customWidth="1"/>
  </x:cols>
  <x:sheetData>
    <x:row r="1" ht="4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4" t="str">
        <x:v>Skill 1 · Black Benediction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2" customHeight="1">
      <x:c r="A3" s="3" t="str">
        <x:v>Immediate heal to the lowest-HP ally, plus Burden gain on Lucien. Heal is not delayed by prayer animation.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3" t="str">
        <x:v>PROPOSED timing and motion throughout. Exact sprite frame IDs are UNMAPPED. Seconds are relative to accepted cast (t=0).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42" customHeight="1">
      <x:c r="A5" s="3" t="str">
        <x:v>Preview FPS</x:v>
      </x:c>
      <x:c r="B5" s="5" t="n">
        <x:v>30</x:v>
      </x:c>
      <x:c r="C5" s="3" t="str">
        <x:v>Editable preview timebase only. Tick ranges are [start, end), zero-based; these are NOT sprite sheet frame IDs.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4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36" customHeight="1">
      <x:c r="A7" s="9" t="str">
        <x:v>Event ID</x:v>
      </x:c>
      <x:c r="B7" s="9" t="str">
        <x:v>Phase</x:v>
      </x:c>
      <x:c r="C7" s="9" t="str">
        <x:v>Start (s)</x:v>
      </x:c>
      <x:c r="D7" s="9" t="str">
        <x:v>End (s)</x:v>
      </x:c>
      <x:c r="E7" s="9" t="str">
        <x:v>Tick start</x:v>
      </x:c>
      <x:c r="F7" s="9" t="str">
        <x:v>Tick end excl.</x:v>
      </x:c>
      <x:c r="G7" s="9" t="str">
        <x:v>Sprite first ID</x:v>
      </x:c>
      <x:c r="H7" s="9" t="str">
        <x:v>Sprite last ID</x:v>
      </x:c>
      <x:c r="I7" s="9" t="str">
        <x:v>Character motion (proposed)</x:v>
      </x:c>
      <x:c r="J7" s="9" t="str">
        <x:v>Gameplay trigger / behavior</x:v>
      </x:c>
      <x:c r="K7" s="9" t="str">
        <x:v>Animation / implementation notes</x:v>
      </x:c>
      <x:c r="L7" s="9" t="str">
        <x:v>Mapping status</x:v>
      </x:c>
      <x:c r="M7" s="9" t="str">
        <x:v>Review owner</x:v>
      </x:c>
    </x:row>
    <x:row r="8" ht="90" customHeight="1">
      <x:c r="A8" s="10" t="str">
        <x:v>S1_HEAL_COMMIT</x:v>
      </x:c>
      <x:c r="B8" s="10" t="str">
        <x:v>Accept / immediate heal</x:v>
      </x:c>
      <x:c r="C8" s="11" t="n">
        <x:v>0</x:v>
      </x:c>
      <x:c r="D8" s="11" t="n">
        <x:v>0</x:v>
      </x:c>
      <x:c r="E8" s="10" t="n">
        <x:f>IF(ISNUMBER(C8),ROUND(C8*$B$5,0),"TBD")</x:f>
        <x:v>0</x:v>
      </x:c>
      <x:c r="F8" s="10" t="n">
        <x:f>IF(ISNUMBER(D8),ROUND(D8*$B$5,0),"TBD")</x:f>
        <x:v>0</x:v>
      </x:c>
      <x:c r="G8" s="5"/>
      <x:c r="H8" s="5"/>
      <x:c r="I8" s="10" t="str">
        <x:v>Accept action; begin prayer pose.</x:v>
      </x:c>
      <x:c r="J8" s="10" t="str">
        <x:v>Resolve lowest-HP eligible ally and apply heal once; grant Burden once.</x:v>
      </x:c>
      <x:c r="K8" s="10" t="str">
        <x:v>Target selection and gain amount remain design-owned.</x:v>
      </x:c>
      <x:c r="L8" s="5" t="str">
        <x:v>UNMAPPED</x:v>
      </x:c>
      <x:c r="M8" s="5" t="str">
        <x:v>TBD</x:v>
      </x:c>
    </x:row>
    <x:row r="9" ht="90" customHeight="1">
      <x:c r="A9" s="3" t="str">
        <x:v>S1_CAST_START</x:v>
      </x:c>
      <x:c r="B9" s="3" t="str">
        <x:v>Prayer onset</x:v>
      </x:c>
      <x:c r="C9" s="12" t="n">
        <x:v>0</x:v>
      </x:c>
      <x:c r="D9" s="12" t="n">
        <x:v>0.15</x:v>
      </x:c>
      <x:c r="E9" s="3" t="n">
        <x:f>IF(ISNUMBER(C9),ROUND(C9*$B$5,0),"TBD")</x:f>
        <x:v>0</x:v>
      </x:c>
      <x:c r="F9" s="3" t="n">
        <x:f>IF(ISNUMBER(D9),ROUND(D9*$B$5,0),"TBD")</x:f>
        <x:v>5</x:v>
      </x:c>
      <x:c r="G9" s="5"/>
      <x:c r="H9" s="5"/>
      <x:c r="I9" s="3" t="str">
        <x:v>Suggested: settle stance, raise prayer hand.</x:v>
      </x:c>
      <x:c r="J9" s="3" t="str">
        <x:v>Visual only; heal already committed.</x:v>
      </x:c>
      <x:c r="K9" s="3" t="str">
        <x:v>Keep staff/hand anchor stable.</x:v>
      </x:c>
      <x:c r="L9" s="5" t="str">
        <x:v>UNMAPPED</x:v>
      </x:c>
      <x:c r="M9" s="5" t="str">
        <x:v>TBD</x:v>
      </x:c>
    </x:row>
    <x:row r="10" ht="90" customHeight="1">
      <x:c r="A10" s="10" t="str">
        <x:v>S1_CAST_HOLD</x:v>
      </x:c>
      <x:c r="B10" s="10" t="str">
        <x:v>Prayer hold</x:v>
      </x:c>
      <x:c r="C10" s="11" t="n">
        <x:v>0.15</x:v>
      </x:c>
      <x:c r="D10" s="11" t="n">
        <x:v>0.35</x:v>
      </x:c>
      <x:c r="E10" s="10" t="n">
        <x:f>IF(ISNUMBER(C10),ROUND(C10*$B$5,0),"TBD")</x:f>
        <x:v>5</x:v>
      </x:c>
      <x:c r="F10" s="10" t="n">
        <x:f>IF(ISNUMBER(D10),ROUND(D10*$B$5,0),"TBD")</x:f>
        <x:v>11</x:v>
      </x:c>
      <x:c r="G10" s="5"/>
      <x:c r="H10" s="5"/>
      <x:c r="I10" s="10" t="str">
        <x:v>Suggested: hold restrained prayer silhouette.</x:v>
      </x:c>
      <x:c r="J10" s="10" t="str">
        <x:v>No repeated healing.</x:v>
      </x:c>
      <x:c r="K10" s="10" t="str">
        <x:v>Avoid adding a projectile or travel delay.</x:v>
      </x:c>
      <x:c r="L10" s="5" t="str">
        <x:v>UNMAPPED</x:v>
      </x:c>
      <x:c r="M10" s="5" t="str">
        <x:v>TBD</x:v>
      </x:c>
    </x:row>
    <x:row r="11" ht="90" customHeight="1">
      <x:c r="A11" s="3" t="str">
        <x:v>S1_HEAL_VISUAL</x:v>
      </x:c>
      <x:c r="B11" s="3" t="str">
        <x:v>Heal bloom</x:v>
      </x:c>
      <x:c r="C11" s="12" t="n">
        <x:v>0</x:v>
      </x:c>
      <x:c r="D11" s="12" t="n">
        <x:v>0.35</x:v>
      </x:c>
      <x:c r="E11" s="3" t="n">
        <x:f>IF(ISNUMBER(C11),ROUND(C11*$B$5,0),"TBD")</x:f>
        <x:v>0</x:v>
      </x:c>
      <x:c r="F11" s="3" t="n">
        <x:f>IF(ISNUMBER(D11),ROUND(D11*$B$5,0),"TBD")</x:f>
        <x:v>11</x:v>
      </x:c>
      <x:c r="G11" s="5"/>
      <x:c r="H11" s="5"/>
      <x:c r="I11" s="3" t="str">
        <x:v>Lucien continues prayer; ally receives burst.</x:v>
      </x:c>
      <x:c r="J11" s="3" t="str">
        <x:v>Visual confirmation of immediate heal.</x:v>
      </x:c>
      <x:c r="K11" s="3" t="str">
        <x:v>Target burst starts on the same commit event.</x:v>
      </x:c>
      <x:c r="L11" s="5" t="str">
        <x:v>UNMAPPED</x:v>
      </x:c>
      <x:c r="M11" s="5" t="str">
        <x:v>TBD</x:v>
      </x:c>
    </x:row>
    <x:row r="12" ht="90" customHeight="1">
      <x:c r="A12" s="10" t="str">
        <x:v>S1_BURDEN_VISUAL</x:v>
      </x:c>
      <x:c r="B12" s="10" t="str">
        <x:v>Burden feedback</x:v>
      </x:c>
      <x:c r="C12" s="11" t="n">
        <x:v>0</x:v>
      </x:c>
      <x:c r="D12" s="11" t="n">
        <x:v>0.5</x:v>
      </x:c>
      <x:c r="E12" s="10" t="n">
        <x:f>IF(ISNUMBER(C12),ROUND(C12*$B$5,0),"TBD")</x:f>
        <x:v>0</x:v>
      </x:c>
      <x:c r="F12" s="10" t="n">
        <x:f>IF(ISNUMBER(D12),ROUND(D12*$B$5,0),"TBD")</x:f>
        <x:v>15</x:v>
      </x:c>
      <x:c r="G12" s="5"/>
      <x:c r="H12" s="5"/>
      <x:c r="I12" s="10" t="str">
        <x:v>Suggested: brief inward recoil / weight in torso.</x:v>
      </x:c>
      <x:c r="J12" s="10" t="str">
        <x:v>Show confirmed Burden gain.</x:v>
      </x:c>
      <x:c r="K12" s="10" t="str">
        <x:v>No extra gain from VFX callbacks.</x:v>
      </x:c>
      <x:c r="L12" s="5" t="str">
        <x:v>UNMAPPED</x:v>
      </x:c>
      <x:c r="M12" s="5" t="str">
        <x:v>TBD</x:v>
      </x:c>
    </x:row>
    <x:row r="13" ht="90" customHeight="1">
      <x:c r="A13" s="3" t="str">
        <x:v>S1_RECOVER</x:v>
      </x:c>
      <x:c r="B13" s="3" t="str">
        <x:v>Recovery</x:v>
      </x:c>
      <x:c r="C13" s="12" t="n">
        <x:v>0.35</x:v>
      </x:c>
      <x:c r="D13" s="12" t="n">
        <x:v>1.2</x:v>
      </x:c>
      <x:c r="E13" s="3" t="n">
        <x:f>IF(ISNUMBER(C13),ROUND(C13*$B$5,0),"TBD")</x:f>
        <x:v>11</x:v>
      </x:c>
      <x:c r="F13" s="3" t="n">
        <x:f>IF(ISNUMBER(D13),ROUND(D13*$B$5,0),"TBD")</x:f>
        <x:v>36</x:v>
      </x:c>
      <x:c r="G13" s="5"/>
      <x:c r="H13" s="5"/>
      <x:c r="I13" s="3" t="str">
        <x:v>Suggested: lower hand and return to idle.</x:v>
      </x:c>
      <x:c r="J13" s="3" t="str">
        <x:v>No new gameplay effect.</x:v>
      </x:c>
      <x:c r="K13" s="3" t="str">
        <x:v>Blend to final idle pose; interruption policy TBD.</x:v>
      </x:c>
      <x:c r="L13" s="5" t="str">
        <x:v>UNMAPPED</x:v>
      </x:c>
      <x:c r="M13" s="5" t="str">
        <x:v>TBD</x:v>
      </x:c>
    </x:row>
    <x:row r="14" ht="42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</x:row>
    <x:row r="15" ht="4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 ht="24" customHeight="1">
      <x:c r="A16" s="7" t="str">
        <x:v>VFX lifecycle — all numeric timing proposed; blank hold/end = state-driven</x:v>
      </x:c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</x:row>
    <x:row r="17" ht="36" customHeight="1">
      <x:c r="A17" s="9" t="str">
        <x:v>VFX asset / role</x:v>
      </x:c>
      <x:c r="B17" s="9" t="str">
        <x:v>Start event</x:v>
      </x:c>
      <x:c r="C17" s="9" t="str">
        <x:v>Start (s)</x:v>
      </x:c>
      <x:c r="D17" s="9" t="str">
        <x:v>Hold from (s)</x:v>
      </x:c>
      <x:c r="E17" s="9" t="str">
        <x:v>Hold until (s)</x:v>
      </x:c>
      <x:c r="F17" s="9" t="str">
        <x:v>End (s)</x:v>
      </x:c>
      <x:c r="G17" s="9" t="str">
        <x:v>Spawn position (proposed)</x:v>
      </x:c>
      <x:c r="H17" s="9" t="str">
        <x:v>Target</x:v>
      </x:c>
      <x:c r="I17" s="9" t="str">
        <x:v>Start / hold / end behavior</x:v>
      </x:c>
      <x:c r="J17" s="9" t="str">
        <x:v>Loop / reuse behavior</x:v>
      </x:c>
      <x:c r="K17" s="9" t="str">
        <x:v>Implementation notes</x:v>
      </x:c>
      <x:c r="L17" s="9" t="str">
        <x:v>Sprite mapping</x:v>
      </x:c>
      <x:c r="M17" s="9" t="str">
        <x:v>Review status</x:v>
      </x:c>
    </x:row>
    <x:row r="18" ht="108" customHeight="1">
      <x:c r="A18" s="10" t="str">
        <x:v>Lucien_S1_CastPrayer_VFX</x:v>
      </x:c>
      <x:c r="B18" s="10" t="str">
        <x:v>S1_CAST_START</x:v>
      </x:c>
      <x:c r="C18" s="11" t="n">
        <x:v>0</x:v>
      </x:c>
      <x:c r="D18" s="11" t="n">
        <x:v>0.15</x:v>
      </x:c>
      <x:c r="E18" s="11" t="n">
        <x:v>0.35</x:v>
      </x:c>
      <x:c r="F18" s="11" t="n">
        <x:v>0.5</x:v>
      </x:c>
      <x:c r="G18" s="10" t="str">
        <x:v>Lucien prayer hand / staff head</x:v>
      </x:c>
      <x:c r="H18" s="10" t="str">
        <x:v>Lucien</x:v>
      </x:c>
      <x:c r="I18" s="10" t="str">
        <x:v>Prayer onset / hold / fade</x:v>
      </x:c>
      <x:c r="J18" s="10" t="str">
        <x:v>One-shot; hold may stretch visually</x:v>
      </x:c>
      <x:c r="K18" s="10" t="str">
        <x:v>Do not gate immediate heal on this effect.</x:v>
      </x:c>
      <x:c r="L18" s="10" t="str">
        <x:v>TBD · final sheet</x:v>
      </x:c>
      <x:c r="M18" s="10" t="str">
        <x:v>Proposed</x:v>
      </x:c>
    </x:row>
    <x:row r="19" ht="108" customHeight="1">
      <x:c r="A19" s="3" t="str">
        <x:v>Lucien_S1_HealBurst_VFX</x:v>
      </x:c>
      <x:c r="B19" s="3" t="str">
        <x:v>S1_HEAL_COMMIT</x:v>
      </x:c>
      <x:c r="C19" s="12" t="n">
        <x:v>0</x:v>
      </x:c>
      <x:c r="D19" s="12" t="n">
        <x:v>0</x:v>
      </x:c>
      <x:c r="E19" s="12" t="n">
        <x:v>0.15</x:v>
      </x:c>
      <x:c r="F19" s="12" t="n">
        <x:v>0.35</x:v>
      </x:c>
      <x:c r="G19" s="3" t="str">
        <x:v>Ally torso, with ground-aligned base if needed</x:v>
      </x:c>
      <x:c r="H19" s="3" t="str">
        <x:v>Lowest-HP eligible ally</x:v>
      </x:c>
      <x:c r="I19" s="3" t="str">
        <x:v>Immediate bloom / short hold / dissolve</x:v>
      </x:c>
      <x:c r="J19" s="3" t="str">
        <x:v>One-shot per successful heal</x:v>
      </x:c>
      <x:c r="K19" s="3" t="str">
        <x:v>Bind to committed target ID; missing anchor must not block heal.</x:v>
      </x:c>
      <x:c r="L19" s="3" t="str">
        <x:v>TBD · final sheet</x:v>
      </x:c>
      <x:c r="M19" s="3" t="str">
        <x:v>Proposed</x:v>
      </x:c>
    </x:row>
    <x:row r="20" ht="108" customHeight="1">
      <x:c r="A20" s="10" t="str">
        <x:v>Lucien_S1_BurdenGain_VFX</x:v>
      </x:c>
      <x:c r="B20" s="10" t="str">
        <x:v>S1_HEAL_COMMIT</x:v>
      </x:c>
      <x:c r="C20" s="11" t="n">
        <x:v>0</x:v>
      </x:c>
      <x:c r="D20" s="11" t="n">
        <x:v>0.1</x:v>
      </x:c>
      <x:c r="E20" s="11" t="n">
        <x:v>0.3</x:v>
      </x:c>
      <x:c r="F20" s="11" t="n">
        <x:v>0.5</x:v>
      </x:c>
      <x:c r="G20" s="10" t="str">
        <x:v>Lucien torso / burden anchor</x:v>
      </x:c>
      <x:c r="H20" s="10" t="str">
        <x:v>Lucien</x:v>
      </x:c>
      <x:c r="I20" s="10" t="str">
        <x:v>Inward gather / brief pulse / fade</x:v>
      </x:c>
      <x:c r="J20" s="10" t="str">
        <x:v>One-shot per confirmed gain</x:v>
      </x:c>
      <x:c r="K20" s="10" t="str">
        <x:v>Read authoritative Burden state; no stack cap or value is defined here.</x:v>
      </x:c>
      <x:c r="L20" s="10" t="str">
        <x:v>TBD · final sheet</x:v>
      </x:c>
      <x:c r="M20" s="10" t="str">
        <x:v>Proposed</x:v>
      </x:c>
    </x:row>
    <x:row r="21" ht="4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 ht="24" customHeight="1">
      <x:c r="A22" s="7" t="str">
        <x:v>Alignment and implementation handoff</x:v>
      </x:c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</x:row>
    <x:row r="23" ht="32" customHeight="1">
      <x:c r="A23" s="3" t="str">
        <x:v>Frame mapping: replace blank first/last IDs with final sprite IDs for each event. Preserve gameplay event meaning; retime animation and VFX together. Tick end is exclusive; sprite ID range convention must be confirmed.</x:v>
      </x:c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32" customHeight="1">
      <x:c r="A24" s="3" t="str">
        <x:v>Suggested implementation: gameplay owns heal / transfer / release / buff events. VFX listens to committed events once per cast ID. Stop transient loops on cancel, death or despawn; do not erase stored burden or buffs through VFX cleanup.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32" customHeight="1">
      <x:c r="A25" s="3" t="str">
        <x:v>Before lock: confirm approved pose sequence, sockets, facing/mirroring, sprite playback rate, timing, target rules, interruption behavior and numerical balance. Review owner and mapping status are editable amber cells.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32" customHeight="1">
      <x:c r="A26" s="3" t="str">
        <x:v>State-driven effects: end on authoritative state removal. No numeric buff duration, delayed recovery delay, burden cap, heal coefficient, protection value or transfer amount is supplied.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4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4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4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4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4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4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4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4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4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4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4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4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4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4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4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4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 ht="4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4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4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 ht="4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4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4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4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4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4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4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4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4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4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4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 ht="4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 ht="4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 ht="4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 ht="4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</x:sheetData>
  <x:mergeCells>
    <x:mergeCell ref="A2:M2"/>
    <x:mergeCell ref="A3:M3"/>
    <x:mergeCell ref="A4:M4"/>
    <x:mergeCell ref="C5:M5"/>
    <x:mergeCell ref="A16:M16"/>
    <x:mergeCell ref="A22:M22"/>
    <x:mergeCell ref="A23:M23"/>
    <x:mergeCell ref="A24:M24"/>
    <x:mergeCell ref="A25:M25"/>
    <x:mergeCell ref="A26:M26"/>
  </x:mergeCells>
  <x:dataValidations count="1">
    <x:dataValidation type="list" sqref="B5">
      <x:formula1>"24,30,60"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36F7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9" hidden="0" customWidth="1"/>
    <x:col min="2" max="2" width="2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4" hidden="0" customWidth="1"/>
    <x:col min="8" max="8" width="24" hidden="0" customWidth="1"/>
    <x:col min="9" max="9" width="32" hidden="0" customWidth="1"/>
    <x:col min="10" max="10" width="37" hidden="0" customWidth="1"/>
    <x:col min="11" max="11" width="39" hidden="0" customWidth="1"/>
    <x:col min="12" max="12" width="23" hidden="0" customWidth="1"/>
    <x:col min="13" max="13" width="23" hidden="0" customWidth="1"/>
  </x:cols>
  <x:sheetData>
    <x:row r="1" ht="4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13" t="str">
        <x:v>Skill 2 · Martyr’s Veil / Burden Transfer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2" customHeight="1">
      <x:c r="A3" s="3" t="str">
        <x:v>Connect to an ally, absorb their burden, and store it on Lucien. Transfer quantity, eligible burden types and duration remain unspecified.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3" t="str">
        <x:v>PROPOSED timing and motion throughout. Exact sprite frame IDs are UNMAPPED. Seconds are relative to accepted cast (t=0).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42" customHeight="1">
      <x:c r="A5" s="3" t="str">
        <x:v>Preview FPS</x:v>
      </x:c>
      <x:c r="B5" s="5" t="n">
        <x:v>30</x:v>
      </x:c>
      <x:c r="C5" s="3" t="str">
        <x:v>Editable preview timebase only. Tick ranges are [start, end), zero-based; these are NOT sprite sheet frame IDs.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4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36" customHeight="1">
      <x:c r="A7" s="17" t="str">
        <x:v>Event ID</x:v>
      </x:c>
      <x:c r="B7" s="17" t="str">
        <x:v>Phase</x:v>
      </x:c>
      <x:c r="C7" s="17" t="str">
        <x:v>Start (s)</x:v>
      </x:c>
      <x:c r="D7" s="17" t="str">
        <x:v>End (s)</x:v>
      </x:c>
      <x:c r="E7" s="17" t="str">
        <x:v>Tick start</x:v>
      </x:c>
      <x:c r="F7" s="17" t="str">
        <x:v>Tick end excl.</x:v>
      </x:c>
      <x:c r="G7" s="17" t="str">
        <x:v>Sprite first ID</x:v>
      </x:c>
      <x:c r="H7" s="17" t="str">
        <x:v>Sprite last ID</x:v>
      </x:c>
      <x:c r="I7" s="17" t="str">
        <x:v>Character motion (proposed)</x:v>
      </x:c>
      <x:c r="J7" s="17" t="str">
        <x:v>Gameplay trigger / behavior</x:v>
      </x:c>
      <x:c r="K7" s="17" t="str">
        <x:v>Animation / implementation notes</x:v>
      </x:c>
      <x:c r="L7" s="17" t="str">
        <x:v>Mapping status</x:v>
      </x:c>
      <x:c r="M7" s="17" t="str">
        <x:v>Review owner</x:v>
      </x:c>
    </x:row>
    <x:row r="8" ht="90" customHeight="1">
      <x:c r="A8" s="10" t="str">
        <x:v>S2_CAST_START</x:v>
      </x:c>
      <x:c r="B8" s="10" t="str">
        <x:v>Acquire ally</x:v>
      </x:c>
      <x:c r="C8" s="11" t="n">
        <x:v>0</x:v>
      </x:c>
      <x:c r="D8" s="11" t="n">
        <x:v>0.2</x:v>
      </x:c>
      <x:c r="E8" s="10" t="n">
        <x:f>IF(ISNUMBER(C8),ROUND(C8*$B$5,0),"TBD")</x:f>
        <x:v>0</x:v>
      </x:c>
      <x:c r="F8" s="10" t="n">
        <x:f>IF(ISNUMBER(D8),ROUND(D8*$B$5,0),"TBD")</x:f>
        <x:v>6</x:v>
      </x:c>
      <x:c r="G8" s="5"/>
      <x:c r="H8" s="5"/>
      <x:c r="I8" s="10" t="str">
        <x:v>Suggested: turn toward ally and extend prayer hand.</x:v>
      </x:c>
      <x:c r="J8" s="10" t="str">
        <x:v>Validate ally for transfer; no amount specified.</x:v>
      </x:c>
      <x:c r="K8" s="10" t="str">
        <x:v>Target selection rules require design confirmation.</x:v>
      </x:c>
      <x:c r="L8" s="5" t="str">
        <x:v>UNMAPPED</x:v>
      </x:c>
      <x:c r="M8" s="5" t="str">
        <x:v>TBD</x:v>
      </x:c>
    </x:row>
    <x:row r="9" ht="90" customHeight="1">
      <x:c r="A9" s="3" t="str">
        <x:v>S2_LINK_START</x:v>
      </x:c>
      <x:c r="B9" s="3" t="str">
        <x:v>Source mark</x:v>
      </x:c>
      <x:c r="C9" s="12" t="n">
        <x:v>0.2</x:v>
      </x:c>
      <x:c r="D9" s="12" t="n">
        <x:v>0.4</x:v>
      </x:c>
      <x:c r="E9" s="3" t="n">
        <x:f>IF(ISNUMBER(C9),ROUND(C9*$B$5,0),"TBD")</x:f>
        <x:v>6</x:v>
      </x:c>
      <x:c r="F9" s="3" t="n">
        <x:f>IF(ISNUMBER(D9),ROUND(D9*$B$5,0),"TBD")</x:f>
        <x:v>12</x:v>
      </x:c>
      <x:c r="G9" s="5"/>
      <x:c r="H9" s="5"/>
      <x:c r="I9" s="3" t="str">
        <x:v>Suggested: hold outward reach.</x:v>
      </x:c>
      <x:c r="J9" s="3" t="str">
        <x:v>Establish visual connection to validated ally.</x:v>
      </x:c>
      <x:c r="K9" s="3" t="str">
        <x:v>Source is ally; receiver is Lucien.</x:v>
      </x:c>
      <x:c r="L9" s="5" t="str">
        <x:v>UNMAPPED</x:v>
      </x:c>
      <x:c r="M9" s="5" t="str">
        <x:v>TBD</x:v>
      </x:c>
    </x:row>
    <x:row r="10" ht="90" customHeight="1">
      <x:c r="A10" s="10" t="str">
        <x:v>S2_LINK_HOLD</x:v>
      </x:c>
      <x:c r="B10" s="10" t="str">
        <x:v>Link hold</x:v>
      </x:c>
      <x:c r="C10" s="11" t="n">
        <x:v>0.4</x:v>
      </x:c>
      <x:c r="D10" s="11" t="n">
        <x:v>1</x:v>
      </x:c>
      <x:c r="E10" s="10" t="n">
        <x:f>IF(ISNUMBER(C10),ROUND(C10*$B$5,0),"TBD")</x:f>
        <x:v>12</x:v>
      </x:c>
      <x:c r="F10" s="10" t="n">
        <x:f>IF(ISNUMBER(D10),ROUND(D10*$B$5,0),"TBD")</x:f>
        <x:v>30</x:v>
      </x:c>
      <x:c r="G10" s="5"/>
      <x:c r="H10" s="5"/>
      <x:c r="I10" s="10" t="str">
        <x:v>Suggested: brace against incoming weight.</x:v>
      </x:c>
      <x:c r="J10" s="10" t="str">
        <x:v>Maintain connection; transfer commit is a separate event.</x:v>
      </x:c>
      <x:c r="K10" s="10" t="str">
        <x:v>No periodic damage redirection is assumed.</x:v>
      </x:c>
      <x:c r="L10" s="5" t="str">
        <x:v>UNMAPPED</x:v>
      </x:c>
      <x:c r="M10" s="5" t="str">
        <x:v>TBD</x:v>
      </x:c>
    </x:row>
    <x:row r="11" ht="90" customHeight="1">
      <x:c r="A11" s="3" t="str">
        <x:v>S2_TRANSFER_COMMIT</x:v>
      </x:c>
      <x:c r="B11" s="3" t="str">
        <x:v>Absorb / transfer</x:v>
      </x:c>
      <x:c r="C11" s="12" t="n">
        <x:v>0.6</x:v>
      </x:c>
      <x:c r="D11" s="12" t="n">
        <x:v>1</x:v>
      </x:c>
      <x:c r="E11" s="3" t="n">
        <x:f>IF(ISNUMBER(C11),ROUND(C11*$B$5,0),"TBD")</x:f>
        <x:v>18</x:v>
      </x:c>
      <x:c r="F11" s="3" t="n">
        <x:f>IF(ISNUMBER(D11),ROUND(D11*$B$5,0),"TBD")</x:f>
        <x:v>30</x:v>
      </x:c>
      <x:c r="G11" s="5"/>
      <x:c r="H11" s="5"/>
      <x:c r="I11" s="3" t="str">
        <x:v>Suggested: pull hand inward toward chest.</x:v>
      </x:c>
      <x:c r="J11" s="3" t="str">
        <x:v>Transfer eligible burden from ally into Lucien storage once.</x:v>
      </x:c>
      <x:c r="K11" s="3" t="str">
        <x:v>Suggested commit at 0.60 s; travel is visual, not extra transfers.</x:v>
      </x:c>
      <x:c r="L11" s="5" t="str">
        <x:v>UNMAPPED</x:v>
      </x:c>
      <x:c r="M11" s="5" t="str">
        <x:v>TBD</x:v>
      </x:c>
    </x:row>
    <x:row r="12" ht="90" customHeight="1">
      <x:c r="A12" s="10" t="str">
        <x:v>S2_STORAGE_UPDATED</x:v>
      </x:c>
      <x:c r="B12" s="10" t="str">
        <x:v>Stored burden cue</x:v>
      </x:c>
      <x:c r="C12" s="11" t="n">
        <x:v>1</x:v>
      </x:c>
      <x:c r="D12" s="11" t="n">
        <x:v>1.25</x:v>
      </x:c>
      <x:c r="E12" s="10" t="n">
        <x:f>IF(ISNUMBER(C12),ROUND(C12*$B$5,0),"TBD")</x:f>
        <x:v>30</x:v>
      </x:c>
      <x:c r="F12" s="10" t="n">
        <x:f>IF(ISNUMBER(D12),ROUND(D12*$B$5,0),"TBD")</x:f>
        <x:v>38</x:v>
      </x:c>
      <x:c r="G12" s="5"/>
      <x:c r="H12" s="5"/>
      <x:c r="I12" s="10" t="str">
        <x:v>Suggested: shoulders settle into weighted stance.</x:v>
      </x:c>
      <x:c r="J12" s="10" t="str">
        <x:v>Display confirmed stored Burden.</x:v>
      </x:c>
      <x:c r="K12" s="10" t="str">
        <x:v>Persistent cue follows state, not cast duration.</x:v>
      </x:c>
      <x:c r="L12" s="5" t="str">
        <x:v>UNMAPPED</x:v>
      </x:c>
      <x:c r="M12" s="5" t="str">
        <x:v>TBD</x:v>
      </x:c>
    </x:row>
    <x:row r="13" ht="90" customHeight="1">
      <x:c r="A13" s="3" t="str">
        <x:v>S2_LINK_END</x:v>
      </x:c>
      <x:c r="B13" s="3" t="str">
        <x:v>Link detach</x:v>
      </x:c>
      <x:c r="C13" s="12" t="n">
        <x:v>1</x:v>
      </x:c>
      <x:c r="D13" s="12" t="n">
        <x:v>1.3</x:v>
      </x:c>
      <x:c r="E13" s="3" t="n">
        <x:f>IF(ISNUMBER(C13),ROUND(C13*$B$5,0),"TBD")</x:f>
        <x:v>30</x:v>
      </x:c>
      <x:c r="F13" s="3" t="n">
        <x:f>IF(ISNUMBER(D13),ROUND(D13*$B$5,0),"TBD")</x:f>
        <x:v>39</x:v>
      </x:c>
      <x:c r="G13" s="5"/>
      <x:c r="H13" s="5"/>
      <x:c r="I13" s="3" t="str">
        <x:v>Suggested: release outward hand.</x:v>
      </x:c>
      <x:c r="J13" s="3" t="str">
        <x:v>Stop connection emission.</x:v>
      </x:c>
      <x:c r="K13" s="3" t="str">
        <x:v>Final transfer / break ordering requires gameplay sign-off.</x:v>
      </x:c>
      <x:c r="L13" s="5" t="str">
        <x:v>UNMAPPED</x:v>
      </x:c>
      <x:c r="M13" s="5" t="str">
        <x:v>TBD</x:v>
      </x:c>
    </x:row>
    <x:row r="14" ht="90" customHeight="1">
      <x:c r="A14" s="10" t="str">
        <x:v>S2_RECOVER</x:v>
      </x:c>
      <x:c r="B14" s="10" t="str">
        <x:v>Recovery</x:v>
      </x:c>
      <x:c r="C14" s="11" t="n">
        <x:v>1.3</x:v>
      </x:c>
      <x:c r="D14" s="11" t="n">
        <x:v>1.8</x:v>
      </x:c>
      <x:c r="E14" s="10" t="n">
        <x:f>IF(ISNUMBER(C14),ROUND(C14*$B$5,0),"TBD")</x:f>
        <x:v>39</x:v>
      </x:c>
      <x:c r="F14" s="10" t="n">
        <x:f>IF(ISNUMBER(D14),ROUND(D14*$B$5,0),"TBD")</x:f>
        <x:v>54</x:v>
      </x:c>
      <x:c r="G14" s="5"/>
      <x:c r="H14" s="5"/>
      <x:c r="I14" s="10" t="str">
        <x:v>Suggested: return hand and staff to idle.</x:v>
      </x:c>
      <x:c r="J14" s="10" t="str">
        <x:v>No additional transfer.</x:v>
      </x:c>
      <x:c r="K14" s="10" t="str">
        <x:v>Do not clear stored Burden on animation exit.</x:v>
      </x:c>
      <x:c r="L14" s="5" t="str">
        <x:v>UNMAPPED</x:v>
      </x:c>
      <x:c r="M14" s="5" t="str">
        <x:v>TBD</x:v>
      </x:c>
    </x:row>
    <x:row r="15" ht="4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 ht="4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</x:row>
    <x:row r="17" ht="24" customHeight="1">
      <x:c r="A17" s="15" t="str">
        <x:v>VFX lifecycle — all numeric timing proposed; blank hold/end = state-driven</x:v>
      </x:c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</x:row>
    <x:row r="18" ht="36" customHeight="1">
      <x:c r="A18" s="17" t="str">
        <x:v>VFX asset / role</x:v>
      </x:c>
      <x:c r="B18" s="17" t="str">
        <x:v>Start event</x:v>
      </x:c>
      <x:c r="C18" s="17" t="str">
        <x:v>Start (s)</x:v>
      </x:c>
      <x:c r="D18" s="17" t="str">
        <x:v>Hold from (s)</x:v>
      </x:c>
      <x:c r="E18" s="17" t="str">
        <x:v>Hold until (s)</x:v>
      </x:c>
      <x:c r="F18" s="17" t="str">
        <x:v>End (s)</x:v>
      </x:c>
      <x:c r="G18" s="17" t="str">
        <x:v>Spawn position (proposed)</x:v>
      </x:c>
      <x:c r="H18" s="17" t="str">
        <x:v>Target</x:v>
      </x:c>
      <x:c r="I18" s="17" t="str">
        <x:v>Start / hold / end behavior</x:v>
      </x:c>
      <x:c r="J18" s="17" t="str">
        <x:v>Loop / reuse behavior</x:v>
      </x:c>
      <x:c r="K18" s="17" t="str">
        <x:v>Implementation notes</x:v>
      </x:c>
      <x:c r="L18" s="17" t="str">
        <x:v>Sprite mapping</x:v>
      </x:c>
      <x:c r="M18" s="17" t="str">
        <x:v>Review status</x:v>
      </x:c>
    </x:row>
    <x:row r="19" ht="108" customHeight="1">
      <x:c r="A19" s="10" t="str">
        <x:v>Lucien_S2_LinkSource_VFX</x:v>
      </x:c>
      <x:c r="B19" s="10" t="str">
        <x:v>S2_LINK_START</x:v>
      </x:c>
      <x:c r="C19" s="11" t="n">
        <x:v>0.2</x:v>
      </x:c>
      <x:c r="D19" s="11" t="n">
        <x:v>0.3</x:v>
      </x:c>
      <x:c r="E19" s="11" t="n">
        <x:v>1</x:v>
      </x:c>
      <x:c r="F19" s="11" t="n">
        <x:v>1.3</x:v>
      </x:c>
      <x:c r="G19" s="10" t="str">
        <x:v>Ally torso / burden-source anchor</x:v>
      </x:c>
      <x:c r="H19" s="10" t="str">
        <x:v>Selected ally</x:v>
      </x:c>
      <x:c r="I19" s="10" t="str">
        <x:v>Source mark / sustain / fade</x:v>
      </x:c>
      <x:c r="J19" s="10" t="str">
        <x:v>Loop during valid link only</x:v>
      </x:c>
      <x:c r="K19" s="10" t="str">
        <x:v>Follow source ally; stop on link teardown.</x:v>
      </x:c>
      <x:c r="L19" s="10" t="str">
        <x:v>TBD · final sheet</x:v>
      </x:c>
      <x:c r="M19" s="10" t="str">
        <x:v>Proposed</x:v>
      </x:c>
    </x:row>
    <x:row r="20" ht="108" customHeight="1">
      <x:c r="A20" s="3" t="str">
        <x:v>Lucien_S2_BurdenLink_VFX</x:v>
      </x:c>
      <x:c r="B20" s="3" t="str">
        <x:v>S2_LINK_START</x:v>
      </x:c>
      <x:c r="C20" s="12" t="n">
        <x:v>0.2</x:v>
      </x:c>
      <x:c r="D20" s="12" t="n">
        <x:v>0.4</x:v>
      </x:c>
      <x:c r="E20" s="12" t="n">
        <x:v>1</x:v>
      </x:c>
      <x:c r="F20" s="12" t="n">
        <x:v>1.3</x:v>
      </x:c>
      <x:c r="G20" s="3" t="str">
        <x:v>Two endpoints: ally torso to Lucien torso/hand</x:v>
      </x:c>
      <x:c r="H20" s="3" t="str">
        <x:v>Ally → Lucien</x:v>
      </x:c>
      <x:c r="I20" s="3" t="str">
        <x:v>Grow connection / maintain / retract</x:v>
      </x:c>
      <x:c r="J20" s="3" t="str">
        <x:v>Loop middle segment; stretch endpoints</x:v>
      </x:c>
      <x:c r="K20" s="3" t="str">
        <x:v>Movement follows both actors; transfer authority stays in gameplay.</x:v>
      </x:c>
      <x:c r="L20" s="3" t="str">
        <x:v>TBD · final sheet</x:v>
      </x:c>
      <x:c r="M20" s="3" t="str">
        <x:v>Proposed</x:v>
      </x:c>
    </x:row>
    <x:row r="21" ht="108" customHeight="1">
      <x:c r="A21" s="10" t="str">
        <x:v>Lucien_S2_BurdenAbsorb_VFX</x:v>
      </x:c>
      <x:c r="B21" s="10" t="str">
        <x:v>S2_TRANSFER_COMMIT</x:v>
      </x:c>
      <x:c r="C21" s="11" t="n">
        <x:v>0.6</x:v>
      </x:c>
      <x:c r="D21" s="11" t="n">
        <x:v>0.7</x:v>
      </x:c>
      <x:c r="E21" s="11" t="n">
        <x:v>1</x:v>
      </x:c>
      <x:c r="F21" s="11" t="n">
        <x:v>1.25</x:v>
      </x:c>
      <x:c r="G21" s="10" t="str">
        <x:v>Along link into Lucien torso</x:v>
      </x:c>
      <x:c r="H21" s="10" t="str">
        <x:v>Lucien as receiver</x:v>
      </x:c>
      <x:c r="I21" s="10" t="str">
        <x:v>Inward flow / arrival pulse / fade</x:v>
      </x:c>
      <x:c r="J21" s="10" t="str">
        <x:v>One-shot per confirmed transfer</x:v>
      </x:c>
      <x:c r="K21" s="10" t="str">
        <x:v>Particle arrival must not apply a second transfer.</x:v>
      </x:c>
      <x:c r="L21" s="10" t="str">
        <x:v>TBD · final sheet</x:v>
      </x:c>
      <x:c r="M21" s="10" t="str">
        <x:v>Proposed</x:v>
      </x:c>
    </x:row>
    <x:row r="22" ht="108" customHeight="1">
      <x:c r="A22" s="3" t="str">
        <x:v>Lucien_S2_SacredBurdenStack_VFX</x:v>
      </x:c>
      <x:c r="B22" s="3" t="str">
        <x:v>S2_STORAGE_UPDATED</x:v>
      </x:c>
      <x:c r="C22" s="12" t="n">
        <x:v>1</x:v>
      </x:c>
      <x:c r="D22" s="12" t="n">
        <x:v>1.15</x:v>
      </x:c>
      <x:c r="E22" s="12"/>
      <x:c r="F22" s="12"/>
      <x:c r="G22" s="3" t="str">
        <x:v>Lucien burden anchor / torso</x:v>
      </x:c>
      <x:c r="H22" s="3" t="str">
        <x:v>Lucien</x:v>
      </x:c>
      <x:c r="I22" s="3" t="str">
        <x:v>Enter / state-driven hold / exit on state removal</x:v>
      </x:c>
      <x:c r="J22" s="3" t="str">
        <x:v>Persistent loop shared across casts</x:v>
      </x:c>
      <x:c r="K22" s="3" t="str">
        <x:v>End on authoritative storage removal/consumption; exact stacks and scaling TBD.</x:v>
      </x:c>
      <x:c r="L22" s="3" t="str">
        <x:v>TBD · final sheet</x:v>
      </x:c>
      <x:c r="M22" s="3" t="str">
        <x:v>Proposed</x:v>
      </x:c>
    </x:row>
    <x:row r="23" ht="4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24" customHeight="1">
      <x:c r="A24" s="15" t="str">
        <x:v>Alignment and implementation handoff</x:v>
      </x:c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</x:row>
    <x:row r="25" ht="32" customHeight="1">
      <x:c r="A25" s="3" t="str">
        <x:v>Frame mapping: replace blank first/last IDs with final sprite IDs for each event. Preserve gameplay event meaning; retime animation and VFX together. Tick end is exclusive; sprite ID range convention must be confirmed.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32" customHeight="1">
      <x:c r="A26" s="3" t="str">
        <x:v>Suggested implementation: gameplay owns heal / transfer / release / buff events. VFX listens to committed events once per cast ID. Stop transient loops on cancel, death or despawn; do not erase stored burden or buffs through VFX cleanup.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32" customHeight="1">
      <x:c r="A27" s="3" t="str">
        <x:v>Before lock: confirm approved pose sequence, sockets, facing/mirroring, sprite playback rate, timing, target rules, interruption behavior and numerical balance. Review owner and mapping status are editable amber cells.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32" customHeight="1">
      <x:c r="A28" s="3" t="str">
        <x:v>State-driven effects: end on authoritative state removal. No numeric buff duration, delayed recovery delay, burden cap, heal coefficient, protection value or transfer amount is supplied.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4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4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4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4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4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4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4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4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4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4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4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4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4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4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 ht="4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4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4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 ht="4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4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4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4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4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4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4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4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4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4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4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 ht="4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 ht="4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 ht="4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 ht="4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</x:sheetData>
  <x:mergeCells>
    <x:mergeCell ref="A2:M2"/>
    <x:mergeCell ref="A3:M3"/>
    <x:mergeCell ref="A4:M4"/>
    <x:mergeCell ref="C5:M5"/>
    <x:mergeCell ref="A17:M17"/>
    <x:mergeCell ref="A24:M24"/>
    <x:mergeCell ref="A25:M25"/>
    <x:mergeCell ref="A26:M26"/>
    <x:mergeCell ref="A27:M27"/>
    <x:mergeCell ref="A28:M28"/>
  </x:mergeCells>
  <x:dataValidations count="1">
    <x:dataValidation type="list" sqref="B5">
      <x:formula1>"24,30,60"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65234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9" hidden="0" customWidth="1"/>
    <x:col min="2" max="2" width="2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4" hidden="0" customWidth="1"/>
    <x:col min="8" max="8" width="24" hidden="0" customWidth="1"/>
    <x:col min="9" max="9" width="32" hidden="0" customWidth="1"/>
    <x:col min="10" max="10" width="37" hidden="0" customWidth="1"/>
    <x:col min="11" max="11" width="39" hidden="0" customWidth="1"/>
    <x:col min="12" max="12" width="23" hidden="0" customWidth="1"/>
    <x:col min="13" max="13" width="23" hidden="0" customWidth="1"/>
  </x:cols>
  <x:sheetData>
    <x:row r="1" ht="4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18" t="str">
        <x:v>Ultimate · Black Miracle / Sacred Burden Release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2" customHeight="1">
      <x:c r="A3" s="3" t="str">
        <x:v>Long ritual charge, then release stored Burden into team healing, protection and delayed recovery. Numeric scaling, buff duration and delay are not locked.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3" t="str">
        <x:v>PROPOSED timing and motion throughout. Exact sprite frame IDs are UNMAPPED. Seconds are relative to accepted cast (t=0).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42" customHeight="1">
      <x:c r="A5" s="3" t="str">
        <x:v>Preview FPS</x:v>
      </x:c>
      <x:c r="B5" s="5" t="n">
        <x:v>30</x:v>
      </x:c>
      <x:c r="C5" s="3" t="str">
        <x:v>Editable preview timebase only. Tick ranges are [start, end), zero-based; these are NOT sprite sheet frame IDs.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4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36" customHeight="1">
      <x:c r="A7" s="22" t="str">
        <x:v>Event ID</x:v>
      </x:c>
      <x:c r="B7" s="22" t="str">
        <x:v>Phase</x:v>
      </x:c>
      <x:c r="C7" s="22" t="str">
        <x:v>Start (s)</x:v>
      </x:c>
      <x:c r="D7" s="22" t="str">
        <x:v>End (s)</x:v>
      </x:c>
      <x:c r="E7" s="22" t="str">
        <x:v>Tick start</x:v>
      </x:c>
      <x:c r="F7" s="22" t="str">
        <x:v>Tick end excl.</x:v>
      </x:c>
      <x:c r="G7" s="22" t="str">
        <x:v>Sprite first ID</x:v>
      </x:c>
      <x:c r="H7" s="22" t="str">
        <x:v>Sprite last ID</x:v>
      </x:c>
      <x:c r="I7" s="22" t="str">
        <x:v>Character motion (proposed)</x:v>
      </x:c>
      <x:c r="J7" s="22" t="str">
        <x:v>Gameplay trigger / behavior</x:v>
      </x:c>
      <x:c r="K7" s="22" t="str">
        <x:v>Animation / implementation notes</x:v>
      </x:c>
      <x:c r="L7" s="22" t="str">
        <x:v>Mapping status</x:v>
      </x:c>
      <x:c r="M7" s="22" t="str">
        <x:v>Review owner</x:v>
      </x:c>
    </x:row>
    <x:row r="8" ht="90" customHeight="1">
      <x:c r="A8" s="10" t="str">
        <x:v>ULT_CAST_START</x:v>
      </x:c>
      <x:c r="B8" s="10" t="str">
        <x:v>Ritual entry</x:v>
      </x:c>
      <x:c r="C8" s="11" t="n">
        <x:v>0</x:v>
      </x:c>
      <x:c r="D8" s="11" t="n">
        <x:v>0.4</x:v>
      </x:c>
      <x:c r="E8" s="10" t="n">
        <x:f>IF(ISNUMBER(C8),ROUND(C8*$B$5,0),"TBD")</x:f>
        <x:v>0</x:v>
      </x:c>
      <x:c r="F8" s="10" t="n">
        <x:f>IF(ISNUMBER(D8),ROUND(D8*$B$5,0),"TBD")</x:f>
        <x:v>12</x:v>
      </x:c>
      <x:c r="G8" s="5"/>
      <x:c r="H8" s="5"/>
      <x:c r="I8" s="10" t="str">
        <x:v>Suggested: plant staff and assume ritual stance.</x:v>
      </x:c>
      <x:c r="J8" s="10" t="str">
        <x:v>Enter ritual state.</x:v>
      </x:c>
      <x:c r="K8" s="10" t="str">
        <x:v>No team heal before release.</x:v>
      </x:c>
      <x:c r="L8" s="5" t="str">
        <x:v>UNMAPPED</x:v>
      </x:c>
      <x:c r="M8" s="5" t="str">
        <x:v>TBD</x:v>
      </x:c>
    </x:row>
    <x:row r="9" ht="90" customHeight="1">
      <x:c r="A9" s="3" t="str">
        <x:v>ULT_CHARGE_BUILD</x:v>
      </x:c>
      <x:c r="B9" s="3" t="str">
        <x:v>Staff charge</x:v>
      </x:c>
      <x:c r="C9" s="12" t="n">
        <x:v>0.4</x:v>
      </x:c>
      <x:c r="D9" s="12" t="n">
        <x:v>1</x:v>
      </x:c>
      <x:c r="E9" s="3" t="n">
        <x:f>IF(ISNUMBER(C9),ROUND(C9*$B$5,0),"TBD")</x:f>
        <x:v>12</x:v>
      </x:c>
      <x:c r="F9" s="3" t="n">
        <x:f>IF(ISNUMBER(D9),ROUND(D9*$B$5,0),"TBD")</x:f>
        <x:v>30</x:v>
      </x:c>
      <x:c r="G9" s="5"/>
      <x:c r="H9" s="5"/>
      <x:c r="I9" s="3" t="str">
        <x:v>Suggested: raise / brace staff as charge builds.</x:v>
      </x:c>
      <x:c r="J9" s="3" t="str">
        <x:v>Visual anticipation only.</x:v>
      </x:c>
      <x:c r="K9" s="3" t="str">
        <x:v>Match hand and staff silhouette to approved sprite when available.</x:v>
      </x:c>
      <x:c r="L9" s="5" t="str">
        <x:v>UNMAPPED</x:v>
      </x:c>
      <x:c r="M9" s="5" t="str">
        <x:v>TBD</x:v>
      </x:c>
    </x:row>
    <x:row r="10" ht="90" customHeight="1">
      <x:c r="A10" s="10" t="str">
        <x:v>ULT_CHARGE_HOLD</x:v>
      </x:c>
      <x:c r="B10" s="10" t="str">
        <x:v>Long ritual hold</x:v>
      </x:c>
      <x:c r="C10" s="11" t="n">
        <x:v>1</x:v>
      </x:c>
      <x:c r="D10" s="11" t="n">
        <x:v>2.4</x:v>
      </x:c>
      <x:c r="E10" s="10" t="n">
        <x:f>IF(ISNUMBER(C10),ROUND(C10*$B$5,0),"TBD")</x:f>
        <x:v>30</x:v>
      </x:c>
      <x:c r="F10" s="10" t="n">
        <x:f>IF(ISNUMBER(D10),ROUND(D10*$B$5,0),"TBD")</x:f>
        <x:v>72</x:v>
      </x:c>
      <x:c r="G10" s="5"/>
      <x:c r="H10" s="5"/>
      <x:c r="I10" s="10" t="str">
        <x:v>Suggested: sustain prayer with small weighted motion.</x:v>
      </x:c>
      <x:c r="J10" s="10" t="str">
        <x:v>Hold stored Burden until release.</x:v>
      </x:c>
      <x:c r="K10" s="10" t="str">
        <x:v>Loop compatible with a longer gameplay charge.</x:v>
      </x:c>
      <x:c r="L10" s="5" t="str">
        <x:v>UNMAPPED</x:v>
      </x:c>
      <x:c r="M10" s="5" t="str">
        <x:v>TBD</x:v>
      </x:c>
    </x:row>
    <x:row r="11" ht="90" customHeight="1">
      <x:c r="A11" s="3" t="str">
        <x:v>ULT_RELEASE_PREP</x:v>
      </x:c>
      <x:c r="B11" s="3" t="str">
        <x:v>Release anticipation</x:v>
      </x:c>
      <x:c r="C11" s="12" t="n">
        <x:v>2.4</x:v>
      </x:c>
      <x:c r="D11" s="12" t="n">
        <x:v>2.6</x:v>
      </x:c>
      <x:c r="E11" s="3" t="n">
        <x:f>IF(ISNUMBER(C11),ROUND(C11*$B$5,0),"TBD")</x:f>
        <x:v>72</x:v>
      </x:c>
      <x:c r="F11" s="3" t="n">
        <x:f>IF(ISNUMBER(D11),ROUND(D11*$B$5,0),"TBD")</x:f>
        <x:v>78</x:v>
      </x:c>
      <x:c r="G11" s="5"/>
      <x:c r="H11" s="5"/>
      <x:c r="I11" s="3" t="str">
        <x:v>Suggested: compress posture before staff gesture.</x:v>
      </x:c>
      <x:c r="J11" s="3" t="str">
        <x:v>Prepare release event; no duplicate commit.</x:v>
      </x:c>
      <x:c r="K11" s="3" t="str">
        <x:v>Keep a readable silhouette at release boundary.</x:v>
      </x:c>
      <x:c r="L11" s="5" t="str">
        <x:v>UNMAPPED</x:v>
      </x:c>
      <x:c r="M11" s="5" t="str">
        <x:v>TBD</x:v>
      </x:c>
    </x:row>
    <x:row r="12" ht="90" customHeight="1">
      <x:c r="A12" s="10" t="str">
        <x:v>ULT_RELEASE_COMMIT</x:v>
      </x:c>
      <x:c r="B12" s="10" t="str">
        <x:v>Stored burden release</x:v>
      </x:c>
      <x:c r="C12" s="11" t="n">
        <x:v>2.6</x:v>
      </x:c>
      <x:c r="D12" s="11" t="n">
        <x:v>2.8</x:v>
      </x:c>
      <x:c r="E12" s="10" t="n">
        <x:f>IF(ISNUMBER(C12),ROUND(C12*$B$5,0),"TBD")</x:f>
        <x:v>78</x:v>
      </x:c>
      <x:c r="F12" s="10" t="n">
        <x:f>IF(ISNUMBER(D12),ROUND(D12*$B$5,0),"TBD")</x:f>
        <x:v>84</x:v>
      </x:c>
      <x:c r="G12" s="5"/>
      <x:c r="H12" s="5"/>
      <x:c r="I12" s="10" t="str">
        <x:v>Suggested: decisive outward staff / prayer gesture.</x:v>
      </x:c>
      <x:c r="J12" s="10" t="str">
        <x:v>Release stored Burden into team heal/protection/recovery once.</x:v>
      </x:c>
      <x:c r="K12" s="10" t="str">
        <x:v>Consumption amount, zero-storage behavior and eligibility TBD.</x:v>
      </x:c>
      <x:c r="L12" s="5" t="str">
        <x:v>UNMAPPED</x:v>
      </x:c>
      <x:c r="M12" s="5" t="str">
        <x:v>TBD</x:v>
      </x:c>
    </x:row>
    <x:row r="13" ht="90" customHeight="1">
      <x:c r="A13" s="3" t="str">
        <x:v>ULT_TEAM_HEAL</x:v>
      </x:c>
      <x:c r="B13" s="3" t="str">
        <x:v>Team healing wave</x:v>
      </x:c>
      <x:c r="C13" s="12" t="n">
        <x:v>2.6</x:v>
      </x:c>
      <x:c r="D13" s="12" t="n">
        <x:v>3.4</x:v>
      </x:c>
      <x:c r="E13" s="3" t="n">
        <x:f>IF(ISNUMBER(C13),ROUND(C13*$B$5,0),"TBD")</x:f>
        <x:v>78</x:v>
      </x:c>
      <x:c r="F13" s="3" t="n">
        <x:f>IF(ISNUMBER(D13),ROUND(D13*$B$5,0),"TBD")</x:f>
        <x:v>102</x:v>
      </x:c>
      <x:c r="G13" s="5"/>
      <x:c r="H13" s="5"/>
      <x:c r="I13" s="3" t="str">
        <x:v>Suggested: hold open release pose.</x:v>
      </x:c>
      <x:c r="J13" s="3" t="str">
        <x:v>Immediate team heal at commit is proposed; confirm final semantics.</x:v>
      </x:c>
      <x:c r="K13" s="3" t="str">
        <x:v>Wave travel is visual unless gameplay explicitly specifies propagation.</x:v>
      </x:c>
      <x:c r="L13" s="5" t="str">
        <x:v>UNMAPPED</x:v>
      </x:c>
      <x:c r="M13" s="5" t="str">
        <x:v>TBD</x:v>
      </x:c>
    </x:row>
    <x:row r="14" ht="90" customHeight="1">
      <x:c r="A14" s="10" t="str">
        <x:v>ULT_BUFF_APPLY</x:v>
      </x:c>
      <x:c r="B14" s="10" t="str">
        <x:v>Residual buff</x:v>
      </x:c>
      <x:c r="C14" s="11" t="n">
        <x:v>2.6</x:v>
      </x:c>
      <x:c r="D14" s="11" t="n">
        <x:v>4.2</x:v>
      </x:c>
      <x:c r="E14" s="10" t="n">
        <x:f>IF(ISNUMBER(C14),ROUND(C14*$B$5,0),"TBD")</x:f>
        <x:v>78</x:v>
      </x:c>
      <x:c r="F14" s="10" t="n">
        <x:f>IF(ISNUMBER(D14),ROUND(D14*$B$5,0),"TBD")</x:f>
        <x:v>126</x:v>
      </x:c>
      <x:c r="G14" s="5"/>
      <x:c r="H14" s="5"/>
      <x:c r="I14" s="10" t="str">
        <x:v>Suggested: soften ritual pose as protection remains.</x:v>
      </x:c>
      <x:c r="J14" s="10" t="str">
        <x:v>Apply protection and schedule delayed recovery.</x:v>
      </x:c>
      <x:c r="K14" s="10" t="str">
        <x:v>Buff lifetime and delayed recovery time are state-driven, not 4.20 s.</x:v>
      </x:c>
      <x:c r="L14" s="5" t="str">
        <x:v>UNMAPPED</x:v>
      </x:c>
      <x:c r="M14" s="5" t="str">
        <x:v>TBD</x:v>
      </x:c>
    </x:row>
    <x:row r="15" ht="90" customHeight="1">
      <x:c r="A15" s="3" t="str">
        <x:v>ULT_DELAYED_RECOVERY</x:v>
      </x:c>
      <x:c r="B15" s="3" t="str">
        <x:v>Delayed recovery event</x:v>
      </x:c>
      <x:c r="C15" s="12"/>
      <x:c r="D15" s="12"/>
      <x:c r="E15" s="3" t="str">
        <x:f>IF(ISNUMBER(C15),ROUND(C15*$B$5,0),"TBD")</x:f>
        <x:v>TBD</x:v>
      </x:c>
      <x:c r="F15" s="3" t="str">
        <x:f>IF(ISNUMBER(D15),ROUND(D15*$B$5,0),"TBD")</x:f>
        <x:v>TBD</x:v>
      </x:c>
      <x:c r="G15" s="5"/>
      <x:c r="H15" s="5"/>
      <x:c r="I15" s="3" t="str">
        <x:v>No additional pose required unless approved.</x:v>
      </x:c>
      <x:c r="J15" s="3" t="str">
        <x:v>Resolve scheduled recovery at gameplay-defined delay.</x:v>
      </x:c>
      <x:c r="K15" s="3" t="str">
        <x:v>Delay and pulse count TBD; never infer from VFX fade.</x:v>
      </x:c>
      <x:c r="L15" s="5" t="str">
        <x:v>UNMAPPED</x:v>
      </x:c>
      <x:c r="M15" s="5" t="str">
        <x:v>TBD</x:v>
      </x:c>
    </x:row>
    <x:row r="16" ht="90" customHeight="1">
      <x:c r="A16" s="10" t="str">
        <x:v>ULT_RECOVER</x:v>
      </x:c>
      <x:c r="B16" s="10" t="str">
        <x:v>Ritual recovery</x:v>
      </x:c>
      <x:c r="C16" s="11" t="n">
        <x:v>3.4</x:v>
      </x:c>
      <x:c r="D16" s="11" t="n">
        <x:v>4.2</x:v>
      </x:c>
      <x:c r="E16" s="10" t="n">
        <x:f>IF(ISNUMBER(C16),ROUND(C16*$B$5,0),"TBD")</x:f>
        <x:v>102</x:v>
      </x:c>
      <x:c r="F16" s="10" t="n">
        <x:f>IF(ISNUMBER(D16),ROUND(D16*$B$5,0),"TBD")</x:f>
        <x:v>126</x:v>
      </x:c>
      <x:c r="G16" s="5"/>
      <x:c r="H16" s="5"/>
      <x:c r="I16" s="10" t="str">
        <x:v>Suggested: lower staff and return to idle.</x:v>
      </x:c>
      <x:c r="J16" s="10" t="str">
        <x:v>End cast animation; active buffs may remain.</x:v>
      </x:c>
      <x:c r="K16" s="10" t="str">
        <x:v>Animation exit must not remove valid residual buffs.</x:v>
      </x:c>
      <x:c r="L16" s="5" t="str">
        <x:v>UNMAPPED</x:v>
      </x:c>
      <x:c r="M16" s="5" t="str">
        <x:v>TBD</x:v>
      </x:c>
    </x:row>
    <x:row r="17" ht="4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4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 ht="24" customHeight="1">
      <x:c r="A19" s="20" t="str">
        <x:v>VFX lifecycle — all numeric timing proposed; blank hold/end = state-driven</x:v>
      </x:c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</x:row>
    <x:row r="20" ht="36" customHeight="1">
      <x:c r="A20" s="22" t="str">
        <x:v>VFX asset / role</x:v>
      </x:c>
      <x:c r="B20" s="22" t="str">
        <x:v>Start event</x:v>
      </x:c>
      <x:c r="C20" s="22" t="str">
        <x:v>Start (s)</x:v>
      </x:c>
      <x:c r="D20" s="22" t="str">
        <x:v>Hold from (s)</x:v>
      </x:c>
      <x:c r="E20" s="22" t="str">
        <x:v>Hold until (s)</x:v>
      </x:c>
      <x:c r="F20" s="22" t="str">
        <x:v>End (s)</x:v>
      </x:c>
      <x:c r="G20" s="22" t="str">
        <x:v>Spawn position (proposed)</x:v>
      </x:c>
      <x:c r="H20" s="22" t="str">
        <x:v>Target</x:v>
      </x:c>
      <x:c r="I20" s="22" t="str">
        <x:v>Start / hold / end behavior</x:v>
      </x:c>
      <x:c r="J20" s="22" t="str">
        <x:v>Loop / reuse behavior</x:v>
      </x:c>
      <x:c r="K20" s="22" t="str">
        <x:v>Implementation notes</x:v>
      </x:c>
      <x:c r="L20" s="22" t="str">
        <x:v>Sprite mapping</x:v>
      </x:c>
      <x:c r="M20" s="22" t="str">
        <x:v>Review status</x:v>
      </x:c>
    </x:row>
    <x:row r="21" ht="108" customHeight="1">
      <x:c r="A21" s="10" t="str">
        <x:v>Lucien_ULT_StaffCharge_VFX</x:v>
      </x:c>
      <x:c r="B21" s="10" t="str">
        <x:v>ULT_CAST_START</x:v>
      </x:c>
      <x:c r="C21" s="11" t="n">
        <x:v>0</x:v>
      </x:c>
      <x:c r="D21" s="11" t="n">
        <x:v>0.4</x:v>
      </x:c>
      <x:c r="E21" s="11" t="n">
        <x:v>2.6</x:v>
      </x:c>
      <x:c r="F21" s="11" t="n">
        <x:v>2.85</x:v>
      </x:c>
      <x:c r="G21" s="10" t="str">
        <x:v>Staff head / staff socket</x:v>
      </x:c>
      <x:c r="H21" s="10" t="str">
        <x:v>Lucien</x:v>
      </x:c>
      <x:c r="I21" s="10" t="str">
        <x:v>Ignite / charge hold / release fade</x:v>
      </x:c>
      <x:c r="J21" s="10" t="str">
        <x:v>Loop middle segment; parameterize charge duration</x:v>
      </x:c>
      <x:c r="K21" s="10" t="str">
        <x:v>Terminate charge emission on release or cancelled cast.</x:v>
      </x:c>
      <x:c r="L21" s="10" t="str">
        <x:v>TBD · final sheet</x:v>
      </x:c>
      <x:c r="M21" s="10" t="str">
        <x:v>Proposed</x:v>
      </x:c>
    </x:row>
    <x:row r="22" ht="108" customHeight="1">
      <x:c r="A22" s="3" t="str">
        <x:v>Lucien_ULT_SacredAshAuraLoop_VFX</x:v>
      </x:c>
      <x:c r="B22" s="3" t="str">
        <x:v>ULT_CHARGE_BUILD</x:v>
      </x:c>
      <x:c r="C22" s="12" t="n">
        <x:v>0.4</x:v>
      </x:c>
      <x:c r="D22" s="12" t="n">
        <x:v>1</x:v>
      </x:c>
      <x:c r="E22" s="12" t="n">
        <x:v>2.6</x:v>
      </x:c>
      <x:c r="F22" s="12" t="n">
        <x:v>3</x:v>
      </x:c>
      <x:c r="G22" s="3" t="str">
        <x:v>Lucien root / ground ring with torso ash</x:v>
      </x:c>
      <x:c r="H22" s="3" t="str">
        <x:v>Lucien</x:v>
      </x:c>
      <x:c r="I22" s="3" t="str">
        <x:v>Build aura / sustained ash / dissolve</x:v>
      </x:c>
      <x:c r="J22" s="3" t="str">
        <x:v>Seamless ritual loop</x:v>
      </x:c>
      <x:c r="K22" s="3" t="str">
        <x:v>Keep root and staff layers aligned; do not hide character silhouette.</x:v>
      </x:c>
      <x:c r="L22" s="3" t="str">
        <x:v>TBD · final sheet</x:v>
      </x:c>
      <x:c r="M22" s="3" t="str">
        <x:v>Proposed</x:v>
      </x:c>
    </x:row>
    <x:row r="23" ht="108" customHeight="1">
      <x:c r="A23" s="10" t="str">
        <x:v>Lucien_ULT_BurdenRelease_VFX</x:v>
      </x:c>
      <x:c r="B23" s="10" t="str">
        <x:v>ULT_RELEASE_COMMIT</x:v>
      </x:c>
      <x:c r="C23" s="11" t="n">
        <x:v>2.6</x:v>
      </x:c>
      <x:c r="D23" s="11" t="n">
        <x:v>2.65</x:v>
      </x:c>
      <x:c r="E23" s="11" t="n">
        <x:v>2.8</x:v>
      </x:c>
      <x:c r="F23" s="11" t="n">
        <x:v>3.2</x:v>
      </x:c>
      <x:c r="G23" s="10" t="str">
        <x:v>Lucien burden anchor outward from torso/staff</x:v>
      </x:c>
      <x:c r="H23" s="10" t="str">
        <x:v>Lucien to team-facing space</x:v>
      </x:c>
      <x:c r="I23" s="10" t="str">
        <x:v>Stored burden breaks outward / burst / decay</x:v>
      </x:c>
      <x:c r="J23" s="10" t="str">
        <x:v>One-shot per release</x:v>
      </x:c>
      <x:c r="K23" s="10" t="str">
        <x:v>Read confirmed released amount only for approved visual scaling.</x:v>
      </x:c>
      <x:c r="L23" s="10" t="str">
        <x:v>TBD · final sheet</x:v>
      </x:c>
      <x:c r="M23" s="10" t="str">
        <x:v>Proposed</x:v>
      </x:c>
    </x:row>
    <x:row r="24" ht="108" customHeight="1">
      <x:c r="A24" s="3" t="str">
        <x:v>Lucien_ULT_TeamHealingWave_VFX</x:v>
      </x:c>
      <x:c r="B24" s="3" t="str">
        <x:v>ULT_RELEASE_COMMIT</x:v>
      </x:c>
      <x:c r="C24" s="12" t="n">
        <x:v>2.6</x:v>
      </x:c>
      <x:c r="D24" s="12" t="n">
        <x:v>2.7</x:v>
      </x:c>
      <x:c r="E24" s="12" t="n">
        <x:v>3</x:v>
      </x:c>
      <x:c r="F24" s="12" t="n">
        <x:v>3.4</x:v>
      </x:c>
      <x:c r="G24" s="3" t="str">
        <x:v>World origin at Lucien root, ally receive anchors</x:v>
      </x:c>
      <x:c r="H24" s="3" t="str">
        <x:v>Eligible team allies</x:v>
      </x:c>
      <x:c r="I24" s="3" t="str">
        <x:v>Expand healing wave / crest / fade</x:v>
      </x:c>
      <x:c r="J24" s="3" t="str">
        <x:v>One-shot; optional per-ally receive instances</x:v>
      </x:c>
      <x:c r="K24" s="3" t="str">
        <x:v>Separate recipient resolution from visual wave collision.</x:v>
      </x:c>
      <x:c r="L24" s="3" t="str">
        <x:v>TBD · final sheet</x:v>
      </x:c>
      <x:c r="M24" s="3" t="str">
        <x:v>Proposed</x:v>
      </x:c>
    </x:row>
    <x:row r="25" ht="108" customHeight="1">
      <x:c r="A25" s="10" t="str">
        <x:v>Merged residual buff (optional)</x:v>
      </x:c>
      <x:c r="B25" s="10" t="str">
        <x:v>ULT_BUFF_APPLY</x:v>
      </x:c>
      <x:c r="C25" s="11" t="n">
        <x:v>2.6</x:v>
      </x:c>
      <x:c r="D25" s="11" t="n">
        <x:v>2.8</x:v>
      </x:c>
      <x:c r="E25" s="11"/>
      <x:c r="F25" s="11"/>
      <x:c r="G25" s="10" t="str">
        <x:v>Each affected ally torso / halo anchor</x:v>
      </x:c>
      <x:c r="H25" s="10" t="str">
        <x:v>Buffed team allies</x:v>
      </x:c>
      <x:c r="I25" s="10" t="str">
        <x:v>ProtectionHalo + DelayedRecovery visual role</x:v>
      </x:c>
      <x:c r="J25" s="10" t="str">
        <x:v>Reuse wave residual material / pooled buff instance</x:v>
      </x:c>
      <x:c r="K25" s="10" t="str">
        <x:v>Not an additional approved asset name. End on buff removal; recovery cue follows gameplay event.</x:v>
      </x:c>
      <x:c r="L25" s="10" t="str">
        <x:v>TBD · final sheet</x:v>
      </x:c>
      <x:c r="M25" s="10" t="str">
        <x:v>Proposed</x:v>
      </x:c>
    </x:row>
    <x:row r="26" ht="4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24" customHeight="1">
      <x:c r="A27" s="20" t="str">
        <x:v>Alignment and implementation handoff</x:v>
      </x:c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</x:row>
    <x:row r="28" ht="32" customHeight="1">
      <x:c r="A28" s="3" t="str">
        <x:v>Frame mapping: replace blank first/last IDs with final sprite IDs for each event. Preserve gameplay event meaning; retime animation and VFX together. Tick end is exclusive; sprite ID range convention must be confirmed.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32" customHeight="1">
      <x:c r="A29" s="3" t="str">
        <x:v>Suggested implementation: gameplay owns heal / transfer / release / buff events. VFX listens to committed events once per cast ID. Stop transient loops on cancel, death or despawn; do not erase stored burden or buffs through VFX cleanup.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32" customHeight="1">
      <x:c r="A30" s="3" t="str">
        <x:v>Before lock: confirm approved pose sequence, sockets, facing/mirroring, sprite playback rate, timing, target rules, interruption behavior and numerical balance. Review owner and mapping status are editable amber cells.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32" customHeight="1">
      <x:c r="A31" s="3" t="str">
        <x:v>State-driven effects: end on authoritative state removal. No numeric buff duration, delayed recovery delay, burden cap, heal coefficient, protection value or transfer amount is supplied.</x:v>
      </x:c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4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4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4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4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4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4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4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4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4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4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4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 ht="4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4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4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 ht="4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4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4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4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4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4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4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4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4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4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4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 ht="4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 ht="4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 ht="4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 ht="4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</x:sheetData>
  <x:mergeCells>
    <x:mergeCell ref="A2:M2"/>
    <x:mergeCell ref="A3:M3"/>
    <x:mergeCell ref="A4:M4"/>
    <x:mergeCell ref="C5:M5"/>
    <x:mergeCell ref="A19:M19"/>
    <x:mergeCell ref="A27:M27"/>
    <x:mergeCell ref="A28:M28"/>
    <x:mergeCell ref="A29:M29"/>
    <x:mergeCell ref="A30:M30"/>
    <x:mergeCell ref="A31:M31"/>
  </x:mergeCells>
  <x:dataValidations count="1">
    <x:dataValidation type="list" sqref="B5">
      <x:formula1>"24,30,60"</x:formula1>
    </x:dataValidation>
  </x:dataValidations>
  <x:pageMargins left="0.7" right="0.7" top="0.75" bottom="0.75" header="0.3" footer="0.3"/>
</x:worksheet>
</file>