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200d2215f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814e38c29774ec9"/>
    <x:sheet xmlns:r="http://schemas.openxmlformats.org/officeDocument/2006/relationships" name="Skill1_Timeline" sheetId="2" r:id="R1cd11d823b5342c3"/>
    <x:sheet xmlns:r="http://schemas.openxmlformats.org/officeDocument/2006/relationships" name="Skill2_Timeline" sheetId="3" r:id="R858f3be2901d42f0"/>
    <x:sheet xmlns:r="http://schemas.openxmlformats.org/officeDocument/2006/relationships" name="Ultimate_Timeline" sheetId="4" r:id="Re94de2f4b0204aae"/>
    <x:sheet xmlns:r="http://schemas.openxmlformats.org/officeDocument/2006/relationships" name="VFX_Runtime" sheetId="5" r:id="R62860bcf30fc4ca5"/>
    <x:sheet xmlns:r="http://schemas.openxmlformats.org/officeDocument/2006/relationships" name="QA" sheetId="6" r:id="Rda5878db05b8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32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B2434"/>
      </x:patternFill>
    </x:fill>
    <x:fill>
      <x:patternFill patternType="solid">
        <x:fgColor rgb="FFEAF0F6"/>
      </x:patternFill>
    </x:fill>
    <x:fill>
      <x:patternFill patternType="solid">
        <x:fgColor rgb="FF253C55"/>
      </x:patternFill>
    </x:fill>
    <x:fill>
      <x:patternFill patternType="solid">
        <x:fgColor rgb="FFFFF1D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751c72111414f" /><Relationship Type="http://schemas.openxmlformats.org/officeDocument/2006/relationships/theme" Target="/xl/theme/theme1.xml" Id="R6b57c588f76a4385" /><Relationship Type="http://schemas.openxmlformats.org/officeDocument/2006/relationships/sharedStrings" Target="/xl/sharedStrings.xml" Id="Rbbc35f8351fd4859" /><Relationship Type="http://schemas.openxmlformats.org/officeDocument/2006/relationships/worksheet" Target="/xl/worksheets/sheet1.xml" Id="R6814e38c29774ec9" /><Relationship Type="http://schemas.openxmlformats.org/officeDocument/2006/relationships/worksheet" Target="/xl/worksheets/sheet2.xml" Id="R1cd11d823b5342c3" /><Relationship Type="http://schemas.openxmlformats.org/officeDocument/2006/relationships/worksheet" Target="/xl/worksheets/sheet3.xml" Id="R858f3be2901d42f0" /><Relationship Type="http://schemas.openxmlformats.org/officeDocument/2006/relationships/worksheet" Target="/xl/worksheets/sheet4.xml" Id="Re94de2f4b0204aae" /><Relationship Type="http://schemas.openxmlformats.org/officeDocument/2006/relationships/worksheet" Target="/xl/worksheets/sheet5.xml" Id="R62860bcf30fc4ca5" /><Relationship Type="http://schemas.openxmlformats.org/officeDocument/2006/relationships/worksheet" Target="/xl/worksheets/sheet6.xml" Id="Rda5878db05b8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6" hidden="0" customWidth="1"/>
  </x:cols>
  <x:sheetData>
    <x:row r="1" ht="36" customHeight="1">
      <x:c r="A1" s="3" t="str">
        <x:v>KAEL — UNIVERSAL TIMELINE SYNC V2</x:v>
      </x:c>
      <x:c r="B1" s="3" t="str"/>
      <x:c r="C1" s="3" t="str"/>
      <x:c r="D1" s="3" t="str"/>
      <x:c r="E1" s="3" t="str"/>
      <x:c r="F1" s="3" t="str"/>
    </x:row>
    <x:row r="3" ht="28" customHeight="1">
      <x:c r="A3" s="7" t="str">
        <x:v>Character</x:v>
      </x:c>
      <x:c r="B3" s="10" t="str">
        <x:v>Kael Ashen Vanguard</x:v>
      </x:c>
    </x:row>
    <x:row r="4" ht="28" customHeight="1">
      <x:c r="A4" s="7" t="str">
        <x:v>Status</x:v>
      </x:c>
      <x:c r="B4" s="10" t="str">
        <x:v>Integration draft; requires visual QA</x:v>
      </x:c>
    </x:row>
    <x:row r="5" ht="28" customHeight="1">
      <x:c r="A5" s="7" t="str">
        <x:v>Skill2 source</x:v>
      </x:c>
      <x:c r="B5" s="10" t="str">
        <x:v>User-provided 14 frames / 2×7</x:v>
      </x:c>
    </x:row>
    <x:row r="6" ht="28" customHeight="1">
      <x:c r="A6" s="7" t="str">
        <x:v>Animation FPS</x:v>
      </x:c>
      <x:c r="B6" s="10" t="n">
        <x:v>12</x:v>
      </x:c>
    </x:row>
    <x:row r="7" ht="28" customHeight="1">
      <x:c r="A7" s="7" t="str">
        <x:v>Timing</x:v>
      </x:c>
      <x:c r="B7" s="10" t="str">
        <x:v>PROVISIONAL until game engine checked</x:v>
      </x:c>
    </x:row>
    <x:row r="8" ht="28" customHeight="1">
      <x:c r="A8" s="7" t="str">
        <x:v>Skill1</x:v>
      </x:c>
      <x:c r="B8" s="10" t="str">
        <x:v>10 frames, F7 DAMAGE</x:v>
      </x:c>
    </x:row>
    <x:row r="9" ht="28" customHeight="1">
      <x:c r="A9" s="7" t="str">
        <x:v>Skill2</x:v>
      </x:c>
      <x:c r="B9" s="10" t="str">
        <x:v>14 frames, F5 HIT1 horizontal; F10 HIT2 rising</x:v>
      </x:c>
    </x:row>
    <x:row r="10" ht="28" customHeight="1">
      <x:c r="A10" s="7" t="str">
        <x:v>Skill2 VFX</x:v>
      </x:c>
      <x:c r="B10" s="10" t="str">
        <x:v>IMPACT ONLY; NO MAIN</x:v>
      </x:c>
    </x:row>
    <x:row r="11" ht="28" customHeight="1">
      <x:c r="A11" s="7" t="str">
        <x:v>Ultimate</x:v>
      </x:c>
      <x:c r="B11" s="10" t="str">
        <x:v>Ashen Rupture: 10 frames / F8 sword wave spawn</x:v>
      </x:c>
    </x:row>
    <x:row r="12" ht="28" customHeight="1">
      <x:c r="A12" s="7" t="str">
        <x:v>Ultimate area</x:v>
      </x:c>
      <x:c r="B12" s="10" t="str">
        <x:v>1 × 4 line forward</x:v>
      </x:c>
    </x:row>
    <x:row r="13" ht="28" customHeight="1">
      <x:c r="A13" s="7" t="str">
        <x:v>Scale</x:v>
      </x:c>
      <x:c r="B13" s="10" t="str">
        <x:v>Unified Kael character scale; source originals unchanged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33" hidden="0" customWidth="1"/>
    <x:col min="5" max="5" width="20" hidden="0" customWidth="1"/>
    <x:col min="6" max="6" width="40" hidden="0" customWidth="1"/>
    <x:col min="7" max="7" width="30" hidden="0" customWidth="1"/>
    <x:col min="8" max="8" width="22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2" customHeight="1">
      <x:c r="A1" s="15" t="str">
        <x:v>Frame</x:v>
      </x:c>
      <x:c r="B1" s="15" t="str">
        <x:v>Time start (ms)</x:v>
      </x:c>
      <x:c r="C1" s="15" t="str">
        <x:v>Time end (ms)</x:v>
      </x:c>
      <x:c r="D1" s="15" t="str">
        <x:v>Phase / Character Pose</x:v>
      </x:c>
      <x:c r="E1" s="15" t="str">
        <x:v>Character Track</x:v>
      </x:c>
      <x:c r="F1" s="15" t="str">
        <x:v>VFX / Spawn</x:v>
      </x:c>
      <x:c r="G1" s="15" t="str">
        <x:v>Gameplay Event</x:v>
      </x:c>
      <x:c r="H1" s="15" t="str">
        <x:v>Anchor</x:v>
      </x:c>
      <x:c r="I1" s="15" t="str">
        <x:v>Sheet Row</x:v>
      </x:c>
      <x:c r="J1" s="15" t="str">
        <x:v>Sheet Col</x:v>
      </x:c>
      <x:c r="K1" s="15" t="str">
        <x:v>Source Status / QA</x:v>
      </x:c>
    </x:row>
    <x:row r="2" ht="28" customHeight="1">
      <x:c r="A2" s="10" t="n">
        <x:v>1</x:v>
      </x:c>
      <x:c r="B2" s="18" t="n">
        <x:f>(A2-1)*1000/Overview!$B$6</x:f>
        <x:v>0</x:v>
      </x:c>
      <x:c r="C2" s="18" t="n">
        <x:f>A2*1000/Overview!$B$6</x:f>
        <x:v>83.33333333333333</x:v>
      </x:c>
      <x:c r="D2" s="10" t="str">
        <x:v>READY</x:v>
      </x:c>
      <x:c r="E2" s="10" t="str">
        <x:v>Character only</x:v>
      </x:c>
      <x:c r="F2" s="10" t="str"/>
      <x:c r="G2" s="10" t="str"/>
      <x:c r="H2" s="10" t="str"/>
      <x:c r="I2" s="10"/>
      <x:c r="J2" s="10"/>
      <x:c r="K2" s="10" t="str">
        <x:v>Source asset verify</x:v>
      </x:c>
    </x:row>
    <x:row r="3" ht="28" customHeight="1">
      <x:c r="A3" s="10" t="n">
        <x:v>2</x:v>
      </x:c>
      <x:c r="B3" s="18" t="n">
        <x:f>(A3-1)*1000/Overview!$B$6</x:f>
        <x:v>83.33333333333333</x:v>
      </x:c>
      <x:c r="C3" s="18" t="n">
        <x:f>A3*1000/Overview!$B$6</x:f>
        <x:v>166.66666666666666</x:v>
      </x:c>
      <x:c r="D3" s="10" t="str">
        <x:v>LOWER_STANCE</x:v>
      </x:c>
      <x:c r="E3" s="10" t="str">
        <x:v>Character only</x:v>
      </x:c>
      <x:c r="F3" s="10" t="str"/>
      <x:c r="G3" s="10" t="str"/>
      <x:c r="H3" s="10" t="str"/>
      <x:c r="I3" s="10"/>
      <x:c r="J3" s="10"/>
      <x:c r="K3" s="10" t="str">
        <x:v>Source asset verify</x:v>
      </x:c>
    </x:row>
    <x:row r="4" ht="28" customHeight="1">
      <x:c r="A4" s="10" t="n">
        <x:v>3</x:v>
      </x:c>
      <x:c r="B4" s="18" t="n">
        <x:f>(A4-1)*1000/Overview!$B$6</x:f>
        <x:v>166.66666666666666</x:v>
      </x:c>
      <x:c r="C4" s="18" t="n">
        <x:f>A4*1000/Overview!$B$6</x:f>
        <x:v>250</x:v>
      </x:c>
      <x:c r="D4" s="10" t="str">
        <x:v>DRAW_BACK</x:v>
      </x:c>
      <x:c r="E4" s="10" t="str">
        <x:v>Character only</x:v>
      </x:c>
      <x:c r="F4" s="10" t="str"/>
      <x:c r="G4" s="10" t="str"/>
      <x:c r="H4" s="10" t="str"/>
      <x:c r="I4" s="10"/>
      <x:c r="J4" s="10"/>
      <x:c r="K4" s="10" t="str">
        <x:v>Source asset verify</x:v>
      </x:c>
    </x:row>
    <x:row r="5" ht="28" customHeight="1">
      <x:c r="A5" s="10" t="n">
        <x:v>4</x:v>
      </x:c>
      <x:c r="B5" s="18" t="n">
        <x:f>(A5-1)*1000/Overview!$B$6</x:f>
        <x:v>250</x:v>
      </x:c>
      <x:c r="C5" s="18" t="n">
        <x:f>A5*1000/Overview!$B$6</x:f>
        <x:v>333.3333333333333</x:v>
      </x:c>
      <x:c r="D5" s="10" t="str">
        <x:v>WIND_UP</x:v>
      </x:c>
      <x:c r="E5" s="10" t="str">
        <x:v>Character only</x:v>
      </x:c>
      <x:c r="F5" s="10" t="str"/>
      <x:c r="G5" s="10" t="str"/>
      <x:c r="H5" s="10" t="str"/>
      <x:c r="I5" s="10"/>
      <x:c r="J5" s="10"/>
      <x:c r="K5" s="10" t="str">
        <x:v>Source asset verify</x:v>
      </x:c>
    </x:row>
    <x:row r="6" ht="28" customHeight="1">
      <x:c r="A6" s="10" t="n">
        <x:v>5</x:v>
      </x:c>
      <x:c r="B6" s="18" t="n">
        <x:f>(A6-1)*1000/Overview!$B$6</x:f>
        <x:v>333.3333333333333</x:v>
      </x:c>
      <x:c r="C6" s="18" t="n">
        <x:f>A6*1000/Overview!$B$6</x:f>
        <x:v>416.6666666666667</x:v>
      </x:c>
      <x:c r="D6" s="10" t="str">
        <x:v>MAX_ANTICIPATION</x:v>
      </x:c>
      <x:c r="E6" s="10" t="str">
        <x:v>Character only</x:v>
      </x:c>
      <x:c r="F6" s="10" t="str"/>
      <x:c r="G6" s="10" t="str"/>
      <x:c r="H6" s="10" t="str"/>
      <x:c r="I6" s="10"/>
      <x:c r="J6" s="10"/>
      <x:c r="K6" s="10" t="str">
        <x:v>Source asset verify</x:v>
      </x:c>
    </x:row>
    <x:row r="7" ht="28" customHeight="1">
      <x:c r="A7" s="10" t="n">
        <x:v>6</x:v>
      </x:c>
      <x:c r="B7" s="18" t="n">
        <x:f>(A7-1)*1000/Overview!$B$6</x:f>
        <x:v>416.6666666666667</x:v>
      </x:c>
      <x:c r="C7" s="18" t="n">
        <x:f>A7*1000/Overview!$B$6</x:f>
        <x:v>500</x:v>
      </x:c>
      <x:c r="D7" s="10" t="str">
        <x:v>ATTACK_RELEASE</x:v>
      </x:c>
      <x:c r="E7" s="10" t="str">
        <x:v>Character only</x:v>
      </x:c>
      <x:c r="F7" s="10" t="str">
        <x:v>vfx_spawn:skill1_main</x:v>
      </x:c>
      <x:c r="G7" s="10" t="str"/>
      <x:c r="H7" s="10" t="str">
        <x:v>sword_swing</x:v>
      </x:c>
      <x:c r="I7" s="10"/>
      <x:c r="J7" s="10"/>
      <x:c r="K7" s="10" t="str">
        <x:v>Source asset verify</x:v>
      </x:c>
    </x:row>
    <x:row r="8" ht="28" customHeight="1">
      <x:c r="A8" s="10" t="n">
        <x:v>7</x:v>
      </x:c>
      <x:c r="B8" s="18" t="n">
        <x:f>(A8-1)*1000/Overview!$B$6</x:f>
        <x:v>500</x:v>
      </x:c>
      <x:c r="C8" s="18" t="n">
        <x:f>A8*1000/Overview!$B$6</x:f>
        <x:v>583.3333333333334</x:v>
      </x:c>
      <x:c r="D8" s="10" t="str">
        <x:v>HIT_1</x:v>
      </x:c>
      <x:c r="E8" s="10" t="str">
        <x:v>Character only</x:v>
      </x:c>
      <x:c r="F8" s="10" t="str">
        <x:v>vfx_spawn:skill1_impact</x:v>
      </x:c>
      <x:c r="G8" s="10" t="str">
        <x:v>damage#1</x:v>
      </x:c>
      <x:c r="H8" s="10" t="str">
        <x:v>target_contact</x:v>
      </x:c>
      <x:c r="I8" s="10"/>
      <x:c r="J8" s="10"/>
      <x:c r="K8" s="10" t="str">
        <x:v>Source asset verify</x:v>
      </x:c>
    </x:row>
    <x:row r="9" ht="28" customHeight="1">
      <x:c r="A9" s="10" t="n">
        <x:v>8</x:v>
      </x:c>
      <x:c r="B9" s="18" t="n">
        <x:f>(A9-1)*1000/Overview!$B$6</x:f>
        <x:v>583.3333333333334</x:v>
      </x:c>
      <x:c r="C9" s="18" t="n">
        <x:f>A9*1000/Overview!$B$6</x:f>
        <x:v>666.6666666666666</x:v>
      </x:c>
      <x:c r="D9" s="10" t="str">
        <x:v>FOLLOW_THROUGH</x:v>
      </x:c>
      <x:c r="E9" s="10" t="str">
        <x:v>Character only</x:v>
      </x:c>
      <x:c r="F9" s="10" t="str"/>
      <x:c r="G9" s="10" t="str"/>
      <x:c r="H9" s="10" t="str"/>
      <x:c r="I9" s="10"/>
      <x:c r="J9" s="10"/>
      <x:c r="K9" s="10" t="str">
        <x:v>Source asset verify</x:v>
      </x:c>
    </x:row>
    <x:row r="10" ht="28" customHeight="1">
      <x:c r="A10" s="10" t="n">
        <x:v>9</x:v>
      </x:c>
      <x:c r="B10" s="18" t="n">
        <x:f>(A10-1)*1000/Overview!$B$6</x:f>
        <x:v>666.6666666666666</x:v>
      </x:c>
      <x:c r="C10" s="18" t="n">
        <x:f>A10*1000/Overview!$B$6</x:f>
        <x:v>750</x:v>
      </x:c>
      <x:c r="D10" s="10" t="str">
        <x:v>RECOVERY</x:v>
      </x:c>
      <x:c r="E10" s="10" t="str">
        <x:v>Character only</x:v>
      </x:c>
      <x:c r="F10" s="10" t="str"/>
      <x:c r="G10" s="10" t="str"/>
      <x:c r="H10" s="10" t="str"/>
      <x:c r="I10" s="10"/>
      <x:c r="J10" s="10"/>
      <x:c r="K10" s="10" t="str">
        <x:v>Source asset verify</x:v>
      </x:c>
    </x:row>
    <x:row r="11" ht="28" customHeight="1">
      <x:c r="A11" s="10" t="n">
        <x:v>10</x:v>
      </x:c>
      <x:c r="B11" s="18" t="n">
        <x:f>(A11-1)*1000/Overview!$B$6</x:f>
        <x:v>750</x:v>
      </x:c>
      <x:c r="C11" s="18" t="n">
        <x:f>A11*1000/Overview!$B$6</x:f>
        <x:v>833.3333333333334</x:v>
      </x:c>
      <x:c r="D11" s="10" t="str">
        <x:v>READY_END</x:v>
      </x:c>
      <x:c r="E11" s="10" t="str">
        <x:v>Character only</x:v>
      </x:c>
      <x:c r="F11" s="10" t="str"/>
      <x:c r="G11" s="10" t="str"/>
      <x:c r="H11" s="10" t="str"/>
      <x:c r="I11" s="10"/>
      <x:c r="J11" s="10"/>
      <x:c r="K11" s="10" t="str">
        <x:v>Source asset verify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33" hidden="0" customWidth="1"/>
    <x:col min="5" max="5" width="20" hidden="0" customWidth="1"/>
    <x:col min="6" max="6" width="40" hidden="0" customWidth="1"/>
    <x:col min="7" max="7" width="30" hidden="0" customWidth="1"/>
    <x:col min="8" max="8" width="22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2" customHeight="1">
      <x:c r="A1" s="15" t="str">
        <x:v>Frame</x:v>
      </x:c>
      <x:c r="B1" s="15" t="str">
        <x:v>Time start (ms)</x:v>
      </x:c>
      <x:c r="C1" s="15" t="str">
        <x:v>Time end (ms)</x:v>
      </x:c>
      <x:c r="D1" s="15" t="str">
        <x:v>Phase / Character Pose</x:v>
      </x:c>
      <x:c r="E1" s="15" t="str">
        <x:v>Character Track</x:v>
      </x:c>
      <x:c r="F1" s="15" t="str">
        <x:v>VFX / Spawn</x:v>
      </x:c>
      <x:c r="G1" s="15" t="str">
        <x:v>Gameplay Event</x:v>
      </x:c>
      <x:c r="H1" s="15" t="str">
        <x:v>Anchor</x:v>
      </x:c>
      <x:c r="I1" s="15" t="str">
        <x:v>Sheet Row</x:v>
      </x:c>
      <x:c r="J1" s="15" t="str">
        <x:v>Sheet Col</x:v>
      </x:c>
      <x:c r="K1" s="15" t="str">
        <x:v>Source Status / QA</x:v>
      </x:c>
    </x:row>
    <x:row r="2" ht="28" customHeight="1">
      <x:c r="A2" s="10" t="n">
        <x:v>1</x:v>
      </x:c>
      <x:c r="B2" s="18" t="n">
        <x:f>(A2-1)*1000/Overview!$B$6</x:f>
        <x:v>0</x:v>
      </x:c>
      <x:c r="C2" s="18" t="n">
        <x:f>A2*1000/Overview!$B$6</x:f>
        <x:v>83.33333333333333</x:v>
      </x:c>
      <x:c r="D2" s="10" t="str">
        <x:v>READY</x:v>
      </x:c>
      <x:c r="E2" s="10" t="str">
        <x:v>Character only</x:v>
      </x:c>
      <x:c r="F2" s="10" t="str"/>
      <x:c r="G2" s="10" t="str"/>
      <x:c r="H2" s="10" t="str"/>
      <x:c r="I2" s="10" t="n">
        <x:v>1</x:v>
      </x:c>
      <x:c r="J2" s="10" t="n">
        <x:v>1</x:v>
      </x:c>
      <x:c r="K2" s="10" t="str">
        <x:v>Source asset verify</x:v>
      </x:c>
    </x:row>
    <x:row r="3" ht="28" customHeight="1">
      <x:c r="A3" s="10" t="n">
        <x:v>2</x:v>
      </x:c>
      <x:c r="B3" s="18" t="n">
        <x:f>(A3-1)*1000/Overview!$B$6</x:f>
        <x:v>83.33333333333333</x:v>
      </x:c>
      <x:c r="C3" s="18" t="n">
        <x:f>A3*1000/Overview!$B$6</x:f>
        <x:v>166.66666666666666</x:v>
      </x:c>
      <x:c r="D3" s="10" t="str">
        <x:v>PREPARE_FIRST_CUT</x:v>
      </x:c>
      <x:c r="E3" s="10" t="str">
        <x:v>Character only</x:v>
      </x:c>
      <x:c r="F3" s="10" t="str"/>
      <x:c r="G3" s="10" t="str"/>
      <x:c r="H3" s="10" t="str"/>
      <x:c r="I3" s="10" t="n">
        <x:v>1</x:v>
      </x:c>
      <x:c r="J3" s="10" t="n">
        <x:v>2</x:v>
      </x:c>
      <x:c r="K3" s="10" t="str">
        <x:v>Source asset verify</x:v>
      </x:c>
    </x:row>
    <x:row r="4" ht="28" customHeight="1">
      <x:c r="A4" s="10" t="n">
        <x:v>3</x:v>
      </x:c>
      <x:c r="B4" s="18" t="n">
        <x:f>(A4-1)*1000/Overview!$B$6</x:f>
        <x:v>166.66666666666666</x:v>
      </x:c>
      <x:c r="C4" s="18" t="n">
        <x:f>A4*1000/Overview!$B$6</x:f>
        <x:v>250</x:v>
      </x:c>
      <x:c r="D4" s="10" t="str">
        <x:v>WIND_UP_HORIZONTAL</x:v>
      </x:c>
      <x:c r="E4" s="10" t="str">
        <x:v>Character only</x:v>
      </x:c>
      <x:c r="F4" s="10" t="str"/>
      <x:c r="G4" s="10" t="str"/>
      <x:c r="H4" s="10" t="str"/>
      <x:c r="I4" s="10" t="n">
        <x:v>1</x:v>
      </x:c>
      <x:c r="J4" s="10" t="n">
        <x:v>3</x:v>
      </x:c>
      <x:c r="K4" s="10" t="str">
        <x:v>Source asset verify</x:v>
      </x:c>
    </x:row>
    <x:row r="5" ht="28" customHeight="1">
      <x:c r="A5" s="10" t="n">
        <x:v>4</x:v>
      </x:c>
      <x:c r="B5" s="18" t="n">
        <x:f>(A5-1)*1000/Overview!$B$6</x:f>
        <x:v>250</x:v>
      </x:c>
      <x:c r="C5" s="18" t="n">
        <x:f>A5*1000/Overview!$B$6</x:f>
        <x:v>333.3333333333333</x:v>
      </x:c>
      <x:c r="D5" s="10" t="str">
        <x:v>RELEASE_HORIZONTAL</x:v>
      </x:c>
      <x:c r="E5" s="10" t="str">
        <x:v>Character only</x:v>
      </x:c>
      <x:c r="F5" s="10" t="str"/>
      <x:c r="G5" s="10" t="str"/>
      <x:c r="H5" s="10" t="str"/>
      <x:c r="I5" s="10" t="n">
        <x:v>1</x:v>
      </x:c>
      <x:c r="J5" s="10" t="n">
        <x:v>4</x:v>
      </x:c>
      <x:c r="K5" s="10" t="str">
        <x:v>Source asset verify</x:v>
      </x:c>
    </x:row>
    <x:row r="6" ht="28" customHeight="1">
      <x:c r="A6" s="20" t="n">
        <x:v>5</x:v>
      </x:c>
      <x:c r="B6" s="21" t="n">
        <x:f>(A6-1)*1000/Overview!$B$6</x:f>
        <x:v>333.3333333333333</x:v>
      </x:c>
      <x:c r="C6" s="21" t="n">
        <x:f>A6*1000/Overview!$B$6</x:f>
        <x:v>416.6666666666667</x:v>
      </x:c>
      <x:c r="D6" s="20" t="str">
        <x:v>HIT_1_HORIZONTAL_CUT</x:v>
      </x:c>
      <x:c r="E6" s="20" t="str">
        <x:v>Character only</x:v>
      </x:c>
      <x:c r="F6" s="20" t="str">
        <x:v>vfx_spawn:skill2_impact</x:v>
      </x:c>
      <x:c r="G6" s="20" t="str">
        <x:v>damage#1</x:v>
      </x:c>
      <x:c r="H6" s="20" t="str">
        <x:v>target_contact</x:v>
      </x:c>
      <x:c r="I6" s="20" t="n">
        <x:v>1</x:v>
      </x:c>
      <x:c r="J6" s="20" t="n">
        <x:v>5</x:v>
      </x:c>
      <x:c r="K6" s="20" t="str">
        <x:v>Visual sword path QA pending</x:v>
      </x:c>
    </x:row>
    <x:row r="7" ht="28" customHeight="1">
      <x:c r="A7" s="10" t="n">
        <x:v>6</x:v>
      </x:c>
      <x:c r="B7" s="18" t="n">
        <x:f>(A7-1)*1000/Overview!$B$6</x:f>
        <x:v>416.6666666666667</x:v>
      </x:c>
      <x:c r="C7" s="18" t="n">
        <x:f>A7*1000/Overview!$B$6</x:f>
        <x:v>500</x:v>
      </x:c>
      <x:c r="D7" s="10" t="str">
        <x:v>FOLLOW_THROUGH_1</x:v>
      </x:c>
      <x:c r="E7" s="10" t="str">
        <x:v>Character only</x:v>
      </x:c>
      <x:c r="F7" s="10" t="str"/>
      <x:c r="G7" s="10" t="str"/>
      <x:c r="H7" s="10" t="str"/>
      <x:c r="I7" s="10" t="n">
        <x:v>1</x:v>
      </x:c>
      <x:c r="J7" s="10" t="n">
        <x:v>6</x:v>
      </x:c>
      <x:c r="K7" s="10" t="str">
        <x:v>Source asset verify</x:v>
      </x:c>
    </x:row>
    <x:row r="8" ht="28" customHeight="1">
      <x:c r="A8" s="10" t="n">
        <x:v>7</x:v>
      </x:c>
      <x:c r="B8" s="18" t="n">
        <x:f>(A8-1)*1000/Overview!$B$6</x:f>
        <x:v>500</x:v>
      </x:c>
      <x:c r="C8" s="18" t="n">
        <x:f>A8*1000/Overview!$B$6</x:f>
        <x:v>583.3333333333334</x:v>
      </x:c>
      <x:c r="D8" s="10" t="str">
        <x:v>TRANSITION_TO_REVERSE</x:v>
      </x:c>
      <x:c r="E8" s="10" t="str">
        <x:v>Character only</x:v>
      </x:c>
      <x:c r="F8" s="10" t="str"/>
      <x:c r="G8" s="10" t="str"/>
      <x:c r="H8" s="10" t="str"/>
      <x:c r="I8" s="10" t="n">
        <x:v>1</x:v>
      </x:c>
      <x:c r="J8" s="10" t="n">
        <x:v>7</x:v>
      </x:c>
      <x:c r="K8" s="10" t="str">
        <x:v>Source asset verify</x:v>
      </x:c>
    </x:row>
    <x:row r="9" ht="28" customHeight="1">
      <x:c r="A9" s="10" t="n">
        <x:v>8</x:v>
      </x:c>
      <x:c r="B9" s="18" t="n">
        <x:f>(A9-1)*1000/Overview!$B$6</x:f>
        <x:v>583.3333333333334</x:v>
      </x:c>
      <x:c r="C9" s="18" t="n">
        <x:f>A9*1000/Overview!$B$6</x:f>
        <x:v>666.6666666666666</x:v>
      </x:c>
      <x:c r="D9" s="10" t="str">
        <x:v>RELOAD_RISING_CUT</x:v>
      </x:c>
      <x:c r="E9" s="10" t="str">
        <x:v>Character only</x:v>
      </x:c>
      <x:c r="F9" s="10" t="str"/>
      <x:c r="G9" s="10" t="str"/>
      <x:c r="H9" s="10" t="str"/>
      <x:c r="I9" s="10" t="n">
        <x:v>2</x:v>
      </x:c>
      <x:c r="J9" s="10" t="n">
        <x:v>1</x:v>
      </x:c>
      <x:c r="K9" s="10" t="str">
        <x:v>Source asset verify</x:v>
      </x:c>
    </x:row>
    <x:row r="10" ht="28" customHeight="1">
      <x:c r="A10" s="10" t="n">
        <x:v>9</x:v>
      </x:c>
      <x:c r="B10" s="18" t="n">
        <x:f>(A10-1)*1000/Overview!$B$6</x:f>
        <x:v>666.6666666666666</x:v>
      </x:c>
      <x:c r="C10" s="18" t="n">
        <x:f>A10*1000/Overview!$B$6</x:f>
        <x:v>750</x:v>
      </x:c>
      <x:c r="D10" s="10" t="str">
        <x:v>RELEASE_RISING_CUT</x:v>
      </x:c>
      <x:c r="E10" s="10" t="str">
        <x:v>Character only</x:v>
      </x:c>
      <x:c r="F10" s="10" t="str"/>
      <x:c r="G10" s="10" t="str"/>
      <x:c r="H10" s="10" t="str"/>
      <x:c r="I10" s="10" t="n">
        <x:v>2</x:v>
      </x:c>
      <x:c r="J10" s="10" t="n">
        <x:v>2</x:v>
      </x:c>
      <x:c r="K10" s="10" t="str">
        <x:v>Source asset verify</x:v>
      </x:c>
    </x:row>
    <x:row r="11" ht="28" customHeight="1">
      <x:c r="A11" s="20" t="n">
        <x:v>10</x:v>
      </x:c>
      <x:c r="B11" s="21" t="n">
        <x:f>(A11-1)*1000/Overview!$B$6</x:f>
        <x:v>750</x:v>
      </x:c>
      <x:c r="C11" s="21" t="n">
        <x:f>A11*1000/Overview!$B$6</x:f>
        <x:v>833.3333333333334</x:v>
      </x:c>
      <x:c r="D11" s="20" t="str">
        <x:v>HIT_2_RISING_DIAGONAL</x:v>
      </x:c>
      <x:c r="E11" s="20" t="str">
        <x:v>Character only</x:v>
      </x:c>
      <x:c r="F11" s="20" t="str">
        <x:v>vfx_spawn:skill2_impact</x:v>
      </x:c>
      <x:c r="G11" s="20" t="str">
        <x:v>damage#2</x:v>
      </x:c>
      <x:c r="H11" s="20" t="str">
        <x:v>target_contact</x:v>
      </x:c>
      <x:c r="I11" s="20" t="n">
        <x:v>2</x:v>
      </x:c>
      <x:c r="J11" s="20" t="n">
        <x:v>3</x:v>
      </x:c>
      <x:c r="K11" s="20" t="str">
        <x:v>Visual sword path QA pending</x:v>
      </x:c>
    </x:row>
    <x:row r="12" ht="28" customHeight="1">
      <x:c r="A12" s="10" t="n">
        <x:v>11</x:v>
      </x:c>
      <x:c r="B12" s="18" t="n">
        <x:f>(A12-1)*1000/Overview!$B$6</x:f>
        <x:v>833.3333333333334</x:v>
      </x:c>
      <x:c r="C12" s="18" t="n">
        <x:f>A12*1000/Overview!$B$6</x:f>
        <x:v>916.6666666666666</x:v>
      </x:c>
      <x:c r="D12" s="10" t="str">
        <x:v>FOLLOW_THROUGH_2</x:v>
      </x:c>
      <x:c r="E12" s="10" t="str">
        <x:v>Character only</x:v>
      </x:c>
      <x:c r="F12" s="10" t="str"/>
      <x:c r="G12" s="10" t="str"/>
      <x:c r="H12" s="10" t="str"/>
      <x:c r="I12" s="10" t="n">
        <x:v>2</x:v>
      </x:c>
      <x:c r="J12" s="10" t="n">
        <x:v>4</x:v>
      </x:c>
      <x:c r="K12" s="10" t="str">
        <x:v>Source asset verify</x:v>
      </x:c>
    </x:row>
    <x:row r="13" ht="28" customHeight="1">
      <x:c r="A13" s="10" t="n">
        <x:v>12</x:v>
      </x:c>
      <x:c r="B13" s="18" t="n">
        <x:f>(A13-1)*1000/Overview!$B$6</x:f>
        <x:v>916.6666666666666</x:v>
      </x:c>
      <x:c r="C13" s="18" t="n">
        <x:f>A13*1000/Overview!$B$6</x:f>
        <x:v>1000</x:v>
      </x:c>
      <x:c r="D13" s="10" t="str">
        <x:v>DECELERATE</x:v>
      </x:c>
      <x:c r="E13" s="10" t="str">
        <x:v>Character only</x:v>
      </x:c>
      <x:c r="F13" s="10" t="str"/>
      <x:c r="G13" s="10" t="str"/>
      <x:c r="H13" s="10" t="str"/>
      <x:c r="I13" s="10" t="n">
        <x:v>2</x:v>
      </x:c>
      <x:c r="J13" s="10" t="n">
        <x:v>5</x:v>
      </x:c>
      <x:c r="K13" s="10" t="str">
        <x:v>Source asset verify</x:v>
      </x:c>
    </x:row>
    <x:row r="14" ht="28" customHeight="1">
      <x:c r="A14" s="10" t="n">
        <x:v>13</x:v>
      </x:c>
      <x:c r="B14" s="18" t="n">
        <x:f>(A14-1)*1000/Overview!$B$6</x:f>
        <x:v>1000</x:v>
      </x:c>
      <x:c r="C14" s="18" t="n">
        <x:f>A14*1000/Overview!$B$6</x:f>
        <x:v>1083.3333333333333</x:v>
      </x:c>
      <x:c r="D14" s="10" t="str">
        <x:v>RECOVERY</x:v>
      </x:c>
      <x:c r="E14" s="10" t="str">
        <x:v>Character only</x:v>
      </x:c>
      <x:c r="F14" s="10" t="str"/>
      <x:c r="G14" s="10" t="str"/>
      <x:c r="H14" s="10" t="str"/>
      <x:c r="I14" s="10" t="n">
        <x:v>2</x:v>
      </x:c>
      <x:c r="J14" s="10" t="n">
        <x:v>6</x:v>
      </x:c>
      <x:c r="K14" s="10" t="str">
        <x:v>Source asset verify</x:v>
      </x:c>
    </x:row>
    <x:row r="15" ht="28" customHeight="1">
      <x:c r="A15" s="10" t="n">
        <x:v>14</x:v>
      </x:c>
      <x:c r="B15" s="18" t="n">
        <x:f>(A15-1)*1000/Overview!$B$6</x:f>
        <x:v>1083.3333333333333</x:v>
      </x:c>
      <x:c r="C15" s="18" t="n">
        <x:f>A15*1000/Overview!$B$6</x:f>
        <x:v>1166.6666666666667</x:v>
      </x:c>
      <x:c r="D15" s="10" t="str">
        <x:v>READY_END</x:v>
      </x:c>
      <x:c r="E15" s="10" t="str">
        <x:v>Character only</x:v>
      </x:c>
      <x:c r="F15" s="10" t="str"/>
      <x:c r="G15" s="10" t="str"/>
      <x:c r="H15" s="10" t="str"/>
      <x:c r="I15" s="10" t="n">
        <x:v>2</x:v>
      </x:c>
      <x:c r="J15" s="10" t="n">
        <x:v>7</x:v>
      </x:c>
      <x:c r="K15" s="10" t="str">
        <x:v>Source asset verify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33" hidden="0" customWidth="1"/>
    <x:col min="5" max="5" width="20" hidden="0" customWidth="1"/>
    <x:col min="6" max="6" width="40" hidden="0" customWidth="1"/>
    <x:col min="7" max="7" width="30" hidden="0" customWidth="1"/>
    <x:col min="8" max="8" width="22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2" customHeight="1">
      <x:c r="A1" s="15" t="str">
        <x:v>Frame</x:v>
      </x:c>
      <x:c r="B1" s="15" t="str">
        <x:v>Time start (ms)</x:v>
      </x:c>
      <x:c r="C1" s="15" t="str">
        <x:v>Time end (ms)</x:v>
      </x:c>
      <x:c r="D1" s="15" t="str">
        <x:v>Phase / Character Pose</x:v>
      </x:c>
      <x:c r="E1" s="15" t="str">
        <x:v>Character Track</x:v>
      </x:c>
      <x:c r="F1" s="15" t="str">
        <x:v>VFX / Spawn</x:v>
      </x:c>
      <x:c r="G1" s="15" t="str">
        <x:v>Gameplay Event</x:v>
      </x:c>
      <x:c r="H1" s="15" t="str">
        <x:v>Anchor</x:v>
      </x:c>
      <x:c r="I1" s="15" t="str">
        <x:v>Sheet Row</x:v>
      </x:c>
      <x:c r="J1" s="15" t="str">
        <x:v>Sheet Col</x:v>
      </x:c>
      <x:c r="K1" s="15" t="str">
        <x:v>Source Status / QA</x:v>
      </x:c>
    </x:row>
    <x:row r="2" ht="28" customHeight="1">
      <x:c r="A2" s="10" t="n">
        <x:v>1</x:v>
      </x:c>
      <x:c r="B2" s="18" t="n">
        <x:f>(A2-1)*1000/Overview!$B$6</x:f>
        <x:v>0</x:v>
      </x:c>
      <x:c r="C2" s="18" t="n">
        <x:f>A2*1000/Overview!$B$6</x:f>
        <x:v>83.33333333333333</x:v>
      </x:c>
      <x:c r="D2" s="10" t="str">
        <x:v>READY</x:v>
      </x:c>
      <x:c r="E2" s="10" t="str">
        <x:v>Character only</x:v>
      </x:c>
      <x:c r="F2" s="10" t="str"/>
      <x:c r="G2" s="10" t="str"/>
      <x:c r="H2" s="10" t="str"/>
      <x:c r="I2" s="10"/>
      <x:c r="J2" s="10"/>
      <x:c r="K2" s="10" t="str">
        <x:v>Source asset verify</x:v>
      </x:c>
    </x:row>
    <x:row r="3" ht="28" customHeight="1">
      <x:c r="A3" s="10" t="n">
        <x:v>2</x:v>
      </x:c>
      <x:c r="B3" s="18" t="n">
        <x:f>(A3-1)*1000/Overview!$B$6</x:f>
        <x:v>83.33333333333333</x:v>
      </x:c>
      <x:c r="C3" s="18" t="n">
        <x:f>A3*1000/Overview!$B$6</x:f>
        <x:v>166.66666666666666</x:v>
      </x:c>
      <x:c r="D3" s="10" t="str">
        <x:v>CHARGE_START</x:v>
      </x:c>
      <x:c r="E3" s="10" t="str">
        <x:v>Character only</x:v>
      </x:c>
      <x:c r="F3" s="10" t="str">
        <x:v>vfx_spawn:ultimate_charge</x:v>
      </x:c>
      <x:c r="G3" s="10" t="str"/>
      <x:c r="H3" s="10" t="str">
        <x:v>caster_or_sword</x:v>
      </x:c>
      <x:c r="I3" s="10"/>
      <x:c r="J3" s="10"/>
      <x:c r="K3" s="10" t="str">
        <x:v>Source asset verify</x:v>
      </x:c>
    </x:row>
    <x:row r="4" ht="28" customHeight="1">
      <x:c r="A4" s="10" t="n">
        <x:v>3</x:v>
      </x:c>
      <x:c r="B4" s="18" t="n">
        <x:f>(A4-1)*1000/Overview!$B$6</x:f>
        <x:v>166.66666666666666</x:v>
      </x:c>
      <x:c r="C4" s="18" t="n">
        <x:f>A4*1000/Overview!$B$6</x:f>
        <x:v>250</x:v>
      </x:c>
      <x:c r="D4" s="10" t="str">
        <x:v>CHARGE</x:v>
      </x:c>
      <x:c r="E4" s="10" t="str">
        <x:v>Character only</x:v>
      </x:c>
      <x:c r="F4" s="10" t="str"/>
      <x:c r="G4" s="10" t="str"/>
      <x:c r="H4" s="10" t="str"/>
      <x:c r="I4" s="10"/>
      <x:c r="J4" s="10"/>
      <x:c r="K4" s="10" t="str">
        <x:v>Source asset verify</x:v>
      </x:c>
    </x:row>
    <x:row r="5" ht="28" customHeight="1">
      <x:c r="A5" s="10" t="n">
        <x:v>4</x:v>
      </x:c>
      <x:c r="B5" s="18" t="n">
        <x:f>(A5-1)*1000/Overview!$B$6</x:f>
        <x:v>250</x:v>
      </x:c>
      <x:c r="C5" s="18" t="n">
        <x:f>A5*1000/Overview!$B$6</x:f>
        <x:v>333.3333333333333</x:v>
      </x:c>
      <x:c r="D5" s="10" t="str">
        <x:v>LIFT_SWORD</x:v>
      </x:c>
      <x:c r="E5" s="10" t="str">
        <x:v>Character only</x:v>
      </x:c>
      <x:c r="F5" s="10" t="str"/>
      <x:c r="G5" s="10" t="str"/>
      <x:c r="H5" s="10" t="str"/>
      <x:c r="I5" s="10"/>
      <x:c r="J5" s="10"/>
      <x:c r="K5" s="10" t="str">
        <x:v>Source asset verify</x:v>
      </x:c>
    </x:row>
    <x:row r="6" ht="28" customHeight="1">
      <x:c r="A6" s="10" t="n">
        <x:v>5</x:v>
      </x:c>
      <x:c r="B6" s="18" t="n">
        <x:f>(A6-1)*1000/Overview!$B$6</x:f>
        <x:v>333.3333333333333</x:v>
      </x:c>
      <x:c r="C6" s="18" t="n">
        <x:f>A6*1000/Overview!$B$6</x:f>
        <x:v>416.6666666666667</x:v>
      </x:c>
      <x:c r="D6" s="10" t="str">
        <x:v>OVERHEAD_READY</x:v>
      </x:c>
      <x:c r="E6" s="10" t="str">
        <x:v>Character only</x:v>
      </x:c>
      <x:c r="F6" s="10" t="str"/>
      <x:c r="G6" s="10" t="str"/>
      <x:c r="H6" s="10" t="str"/>
      <x:c r="I6" s="10"/>
      <x:c r="J6" s="10"/>
      <x:c r="K6" s="10" t="str">
        <x:v>Source asset verify</x:v>
      </x:c>
    </x:row>
    <x:row r="7" ht="28" customHeight="1">
      <x:c r="A7" s="10" t="n">
        <x:v>6</x:v>
      </x:c>
      <x:c r="B7" s="18" t="n">
        <x:f>(A7-1)*1000/Overview!$B$6</x:f>
        <x:v>416.6666666666667</x:v>
      </x:c>
      <x:c r="C7" s="18" t="n">
        <x:f>A7*1000/Overview!$B$6</x:f>
        <x:v>500</x:v>
      </x:c>
      <x:c r="D7" s="10" t="str">
        <x:v>STRONG_ANTICIPATION</x:v>
      </x:c>
      <x:c r="E7" s="10" t="str">
        <x:v>Character only</x:v>
      </x:c>
      <x:c r="F7" s="10" t="str"/>
      <x:c r="G7" s="10" t="str"/>
      <x:c r="H7" s="10" t="str"/>
      <x:c r="I7" s="10"/>
      <x:c r="J7" s="10"/>
      <x:c r="K7" s="10" t="str">
        <x:v>Source asset verify</x:v>
      </x:c>
    </x:row>
    <x:row r="8" ht="28" customHeight="1">
      <x:c r="A8" s="10" t="n">
        <x:v>7</x:v>
      </x:c>
      <x:c r="B8" s="18" t="n">
        <x:f>(A8-1)*1000/Overview!$B$6</x:f>
        <x:v>500</x:v>
      </x:c>
      <x:c r="C8" s="18" t="n">
        <x:f>A8*1000/Overview!$B$6</x:f>
        <x:v>583.3333333333334</x:v>
      </x:c>
      <x:c r="D8" s="10" t="str">
        <x:v>RELEASE_START</x:v>
      </x:c>
      <x:c r="E8" s="10" t="str">
        <x:v>Character only</x:v>
      </x:c>
      <x:c r="F8" s="10" t="str"/>
      <x:c r="G8" s="10" t="str"/>
      <x:c r="H8" s="10" t="str"/>
      <x:c r="I8" s="10"/>
      <x:c r="J8" s="10"/>
      <x:c r="K8" s="10" t="str">
        <x:v>Source asset verify</x:v>
      </x:c>
    </x:row>
    <x:row r="9" ht="28" customHeight="1">
      <x:c r="A9" s="10" t="n">
        <x:v>8</x:v>
      </x:c>
      <x:c r="B9" s="18" t="n">
        <x:f>(A9-1)*1000/Overview!$B$6</x:f>
        <x:v>583.3333333333334</x:v>
      </x:c>
      <x:c r="C9" s="18" t="n">
        <x:f>A9*1000/Overview!$B$6</x:f>
        <x:v>666.6666666666666</x:v>
      </x:c>
      <x:c r="D9" s="10" t="str">
        <x:v>SWORD_WAVE_SPAWN</x:v>
      </x:c>
      <x:c r="E9" s="10" t="str">
        <x:v>Character only</x:v>
      </x:c>
      <x:c r="F9" s="10" t="str">
        <x:v>projectile_spawn:ultimate_main</x:v>
      </x:c>
      <x:c r="G9" s="10" t="str">
        <x:v>projectile_spawn#</x:v>
      </x:c>
      <x:c r="H9" s="10" t="str">
        <x:v>sword_release</x:v>
      </x:c>
      <x:c r="I9" s="10"/>
      <x:c r="J9" s="10"/>
      <x:c r="K9" s="10" t="str">
        <x:v>Source asset verify</x:v>
      </x:c>
    </x:row>
    <x:row r="10" ht="28" customHeight="1">
      <x:c r="A10" s="10" t="n">
        <x:v>9</x:v>
      </x:c>
      <x:c r="B10" s="18" t="n">
        <x:f>(A10-1)*1000/Overview!$B$6</x:f>
        <x:v>666.6666666666666</x:v>
      </x:c>
      <x:c r="C10" s="18" t="n">
        <x:f>A10*1000/Overview!$B$6</x:f>
        <x:v>750</x:v>
      </x:c>
      <x:c r="D10" s="10" t="str">
        <x:v>FOLLOW_THROUGH</x:v>
      </x:c>
      <x:c r="E10" s="10" t="str">
        <x:v>Character only</x:v>
      </x:c>
      <x:c r="F10" s="10" t="str"/>
      <x:c r="G10" s="10" t="str"/>
      <x:c r="H10" s="10" t="str"/>
      <x:c r="I10" s="10"/>
      <x:c r="J10" s="10"/>
      <x:c r="K10" s="10" t="str">
        <x:v>Source asset verify</x:v>
      </x:c>
    </x:row>
    <x:row r="11" ht="28" customHeight="1">
      <x:c r="A11" s="10" t="n">
        <x:v>10</x:v>
      </x:c>
      <x:c r="B11" s="18" t="n">
        <x:f>(A11-1)*1000/Overview!$B$6</x:f>
        <x:v>750</x:v>
      </x:c>
      <x:c r="C11" s="18" t="n">
        <x:f>A11*1000/Overview!$B$6</x:f>
        <x:v>833.3333333333334</x:v>
      </x:c>
      <x:c r="D11" s="10" t="str">
        <x:v>RECOVERY</x:v>
      </x:c>
      <x:c r="E11" s="10" t="str">
        <x:v>Character only</x:v>
      </x:c>
      <x:c r="F11" s="10" t="str"/>
      <x:c r="G11" s="10" t="str"/>
      <x:c r="H11" s="10" t="str"/>
      <x:c r="I11" s="10"/>
      <x:c r="J11" s="10"/>
      <x:c r="K11" s="10" t="str">
        <x:v>Source asset verify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28" hidden="0" customWidth="1"/>
    <x:col min="5" max="5" width="27" hidden="0" customWidth="1"/>
    <x:col min="6" max="6" width="37" hidden="0" customWidth="1"/>
    <x:col min="7" max="7" width="45" hidden="0" customWidth="1"/>
  </x:cols>
  <x:sheetData>
    <x:row r="1" ht="30" customHeight="1">
      <x:c r="A1" s="24" t="str">
        <x:v>Skill</x:v>
      </x:c>
      <x:c r="B1" s="24" t="str">
        <x:v>Event</x:v>
      </x:c>
      <x:c r="C1" s="24" t="str">
        <x:v>Frame</x:v>
      </x:c>
      <x:c r="D1" s="24" t="str">
        <x:v>Asset</x:v>
      </x:c>
      <x:c r="E1" s="24" t="str">
        <x:v>Anchor</x:v>
      </x:c>
      <x:c r="F1" s="24" t="str">
        <x:v>Trigger</x:v>
      </x:c>
      <x:c r="G1" s="24" t="str">
        <x:v>Dedup / rule</x:v>
      </x:c>
    </x:row>
    <x:row r="2" ht="30" customHeight="1">
      <x:c r="A2" s="10" t="str">
        <x:v>S1</x:v>
      </x:c>
      <x:c r="B2" s="10" t="str">
        <x:v>Main Slash</x:v>
      </x:c>
      <x:c r="C2" s="10" t="n">
        <x:v>6</x:v>
      </x:c>
      <x:c r="D2" s="10" t="str">
        <x:v>skill1_main</x:v>
      </x:c>
      <x:c r="E2" s="10" t="str">
        <x:v>sword_swing</x:v>
      </x:c>
      <x:c r="F2" s="10" t="str">
        <x:v>Frame event</x:v>
      </x:c>
      <x:c r="G2" s="10" t="str">
        <x:v>Only if approved registry asset</x:v>
      </x:c>
    </x:row>
    <x:row r="3" ht="30" customHeight="1">
      <x:c r="A3" s="10" t="str">
        <x:v>S1</x:v>
      </x:c>
      <x:c r="B3" s="10" t="str">
        <x:v>Hit 1</x:v>
      </x:c>
      <x:c r="C3" s="10" t="n">
        <x:v>7</x:v>
      </x:c>
      <x:c r="D3" s="10" t="str">
        <x:v>skill1_impact</x:v>
      </x:c>
      <x:c r="E3" s="10" t="str">
        <x:v>target_contact</x:v>
      </x:c>
      <x:c r="F3" s="10" t="str">
        <x:v>Single melee damage</x:v>
      </x:c>
      <x:c r="G3" s="10" t="str">
        <x:v>cast+hit1+target</x:v>
      </x:c>
    </x:row>
    <x:row r="4" ht="30" customHeight="1">
      <x:c r="A4" s="10" t="str">
        <x:v>S2</x:v>
      </x:c>
      <x:c r="B4" s="10" t="str">
        <x:v>Hit 1</x:v>
      </x:c>
      <x:c r="C4" s="10" t="n">
        <x:v>5</x:v>
      </x:c>
      <x:c r="D4" s="10" t="str">
        <x:v>skill2_impact</x:v>
      </x:c>
      <x:c r="E4" s="10" t="str">
        <x:v>target_contact</x:v>
      </x:c>
      <x:c r="F4" s="10" t="str">
        <x:v>Horizontal cut damage</x:v>
      </x:c>
      <x:c r="G4" s="10" t="str">
        <x:v>cast+hit1+target; NO MAIN</x:v>
      </x:c>
    </x:row>
    <x:row r="5" ht="30" customHeight="1">
      <x:c r="A5" s="10" t="str">
        <x:v>S2</x:v>
      </x:c>
      <x:c r="B5" s="10" t="str">
        <x:v>Hit 2</x:v>
      </x:c>
      <x:c r="C5" s="10" t="n">
        <x:v>10</x:v>
      </x:c>
      <x:c r="D5" s="10" t="str">
        <x:v>skill2_impact</x:v>
      </x:c>
      <x:c r="E5" s="10" t="str">
        <x:v>target_contact</x:v>
      </x:c>
      <x:c r="F5" s="10" t="str">
        <x:v>Rising cut damage</x:v>
      </x:c>
      <x:c r="G5" s="10" t="str">
        <x:v>cast+hit2+target; NO MAIN</x:v>
      </x:c>
    </x:row>
    <x:row r="6" ht="30" customHeight="1">
      <x:c r="A6" s="10" t="str">
        <x:v>Ultimate</x:v>
      </x:c>
      <x:c r="B6" s="10" t="str">
        <x:v>Charge</x:v>
      </x:c>
      <x:c r="C6" s="10" t="n">
        <x:v>2</x:v>
      </x:c>
      <x:c r="D6" s="10" t="str">
        <x:v>ultimate_charge</x:v>
      </x:c>
      <x:c r="E6" s="10" t="str">
        <x:v>caster_or_sword</x:v>
      </x:c>
      <x:c r="F6" s="10" t="str">
        <x:v>Start charge</x:v>
      </x:c>
      <x:c r="G6" s="10" t="str">
        <x:v>Provisional</x:v>
      </x:c>
    </x:row>
    <x:row r="7" ht="30" customHeight="1">
      <x:c r="A7" s="10" t="str">
        <x:v>Ultimate</x:v>
      </x:c>
      <x:c r="B7" s="10" t="str">
        <x:v>Wave spawn</x:v>
      </x:c>
      <x:c r="C7" s="10" t="n">
        <x:v>8</x:v>
      </x:c>
      <x:c r="D7" s="10" t="str">
        <x:v>ultimate_main</x:v>
      </x:c>
      <x:c r="E7" s="10" t="str">
        <x:v>sword_release</x:v>
      </x:c>
      <x:c r="F7" s="10" t="str">
        <x:v>Spawn 1 wave</x:v>
      </x:c>
      <x:c r="G7" s="10" t="str">
        <x:v>One projectile per cast</x:v>
      </x:c>
    </x:row>
    <x:row r="8" ht="30" customHeight="1">
      <x:c r="A8" s="10" t="str">
        <x:v>Ultimate</x:v>
      </x:c>
      <x:c r="B8" s="10" t="str">
        <x:v>Contact</x:v>
      </x:c>
      <x:c r="C8" s="10"/>
      <x:c r="D8" s="10" t="str">
        <x:v>ultimate_impact</x:v>
      </x:c>
      <x:c r="E8" s="10" t="str">
        <x:v>collision_location</x:v>
      </x:c>
      <x:c r="F8" s="10" t="str">
        <x:v>Projectile hits valid target</x:v>
      </x:c>
      <x:c r="G8" s="10" t="str">
        <x:v>On collision only, NOT F8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7" hidden="0" customWidth="1"/>
    <x:col min="3" max="3" width="20" hidden="0" customWidth="1"/>
  </x:cols>
  <x:sheetData>
    <x:row r="1" ht="29" customHeight="1">
      <x:c r="A1" s="24" t="str">
        <x:v>Category</x:v>
      </x:c>
      <x:c r="B1" s="24" t="str">
        <x:v>Check</x:v>
      </x:c>
      <x:c r="C1" s="24" t="str">
        <x:v>Status</x:v>
      </x:c>
    </x:row>
    <x:row r="2" ht="29" customHeight="1">
      <x:c r="A2" s="10" t="str">
        <x:v>Frames</x:v>
      </x:c>
      <x:c r="B2" s="10" t="str">
        <x:v>Skill2 14 frames in 2×7</x:v>
      </x:c>
      <x:c r="C2" s="10" t="str">
        <x:v>PENDING</x:v>
      </x:c>
    </x:row>
    <x:row r="3" ht="29" customHeight="1">
      <x:c r="A3" s="10" t="str">
        <x:v>Weapon</x:v>
      </x:c>
      <x:c r="B3" s="10" t="str">
        <x:v>Sword rigid, identical and hand grip correct</x:v>
      </x:c>
      <x:c r="C3" s="10" t="str">
        <x:v>PENDING</x:v>
      </x:c>
    </x:row>
    <x:row r="4" ht="29" customHeight="1">
      <x:c r="A4" s="10" t="str">
        <x:v>Motion</x:v>
      </x:c>
      <x:c r="B4" s="10" t="str">
        <x:v>F5 horizontal cut and F6 followthrough</x:v>
      </x:c>
      <x:c r="C4" s="10" t="str">
        <x:v>PENDING</x:v>
      </x:c>
    </x:row>
    <x:row r="5" ht="29" customHeight="1">
      <x:c r="A5" s="10" t="str">
        <x:v>Motion</x:v>
      </x:c>
      <x:c r="B5" s="10" t="str">
        <x:v>F10 rising cut and F11 followthrough</x:v>
      </x:c>
      <x:c r="C5" s="10" t="str">
        <x:v>PENDING</x:v>
      </x:c>
    </x:row>
    <x:row r="6" ht="29" customHeight="1">
      <x:c r="A6" s="10" t="str">
        <x:v>Scale</x:v>
      </x:c>
      <x:c r="B6" s="10" t="str">
        <x:v>Same Kael body height and foot pivot in every clip</x:v>
      </x:c>
      <x:c r="C6" s="10" t="str">
        <x:v>PENDING</x:v>
      </x:c>
    </x:row>
    <x:row r="7" ht="29" customHeight="1">
      <x:c r="A7" s="10" t="str">
        <x:v>Runtime</x:v>
      </x:c>
      <x:c r="B7" s="10" t="str">
        <x:v>S2 no main VFX, impacts only F5/F10</x:v>
      </x:c>
      <x:c r="C7" s="10" t="str">
        <x:v>PENDING</x:v>
      </x:c>
    </x:row>
    <x:row r="8" ht="29" customHeight="1">
      <x:c r="A8" s="10" t="str">
        <x:v>Runtime</x:v>
      </x:c>
      <x:c r="B8" s="10" t="str">
        <x:v>Exactly-once damage, cancel safe</x:v>
      </x:c>
      <x:c r="C8" s="10" t="str">
        <x:v>PENDING</x:v>
      </x:c>
    </x:row>
    <x:row r="9" ht="29" customHeight="1">
      <x:c r="A9" s="10" t="str">
        <x:v>Ultimate</x:v>
      </x:c>
      <x:c r="B9" s="10" t="str">
        <x:v>1×4 wave spawned F8, hit on collision</x:v>
      </x:c>
      <x:c r="C9" s="10" t="str">
        <x:v>PENDING</x:v>
      </x:c>
    </x:row>
    <x:row r="10" ht="29" customHeight="1">
      <x:c r="A10" s="10" t="str">
        <x:v>Assets</x:v>
      </x:c>
      <x:c r="B10" s="10" t="str">
        <x:v>Source images unchanged; visual review / preview</x:v>
      </x:c>
      <x:c r="C10" s="10" t="str">
        <x:v>PENDING</x:v>
      </x:c>
    </x:row>
  </x:sheetData>
  <x:pageMargins left="0.7" right="0.7" top="0.75" bottom="0.75" header="0.3" footer="0.3"/>
</x:worksheet>
</file>