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rames" sheetId="2" state="visible" r:id="rId2"/>
    <sheet xmlns:r="http://schemas.openxmlformats.org/officeDocument/2006/relationships" name="Character" sheetId="3" state="visible" r:id="rId3"/>
    <sheet xmlns:r="http://schemas.openxmlformats.org/officeDocument/2006/relationships" name="VFX Tracks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Lay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i val="1"/>
      <sz val="9"/>
    </font>
    <font>
      <name val="Arial"/>
      <color rgb="00000000"/>
      <sz val="10"/>
    </font>
    <font>
      <name val="Arial"/>
      <b val="1"/>
      <color rgb="00C03030"/>
      <sz val="10"/>
    </font>
    <font>
      <name val="Arial"/>
      <i val="1"/>
    </font>
  </fonts>
  <fills count="18">
    <fill>
      <patternFill/>
    </fill>
    <fill>
      <patternFill patternType="gray125"/>
    </fill>
    <fill>
      <patternFill patternType="solid">
        <fgColor rgb="001F2433"/>
      </patternFill>
    </fill>
    <fill>
      <patternFill patternType="solid">
        <fgColor rgb="00D9DCE1"/>
      </patternFill>
    </fill>
    <fill>
      <patternFill patternType="solid">
        <fgColor rgb="00CEE1D9"/>
      </patternFill>
    </fill>
    <fill>
      <patternFill patternType="solid">
        <fgColor rgb="00C8ECD6"/>
      </patternFill>
    </fill>
    <fill>
      <patternFill patternType="solid">
        <fgColor rgb="0099E0B4"/>
      </patternFill>
    </fill>
    <fill>
      <patternFill patternType="solid">
        <fgColor rgb="00B4FFD0"/>
      </patternFill>
    </fill>
    <fill>
      <patternFill patternType="solid">
        <fgColor rgb="00C2E4D3"/>
      </patternFill>
    </fill>
    <fill>
      <patternFill patternType="solid">
        <fgColor rgb="0088D0A9"/>
      </patternFill>
    </fill>
    <fill>
      <patternFill patternType="solid">
        <fgColor rgb="00C0F5DC"/>
      </patternFill>
    </fill>
    <fill>
      <patternFill patternType="solid">
        <fgColor rgb="0088F1BF"/>
      </patternFill>
    </fill>
    <fill>
      <patternFill patternType="solid">
        <fgColor rgb="00D6D9DC"/>
      </patternFill>
    </fill>
    <fill>
      <patternFill patternType="solid">
        <fgColor rgb="0086DBA7"/>
      </patternFill>
    </fill>
    <fill>
      <patternFill patternType="solid">
        <fgColor rgb="0073C79A"/>
      </patternFill>
    </fill>
    <fill>
      <patternFill patternType="solid">
        <fgColor rgb="0073EEB4"/>
      </patternFill>
    </fill>
    <fill>
      <patternFill patternType="solid">
        <fgColor rgb="00A7FFC7"/>
      </patternFill>
    </fill>
    <fill>
      <patternFill patternType="solid">
        <fgColor rgb="00DBDBDB"/>
      </patternFill>
    </fill>
  </fills>
  <borders count="3">
    <border>
      <left/>
      <right/>
      <top/>
      <bottom/>
      <diagonal/>
    </border>
    <border>
      <bottom style="thin">
        <color rgb="00D0D4DE"/>
      </bottom>
    </border>
    <border>
      <top style="medium">
        <color rgb="00D04040"/>
      </top>
      <bottom style="medium">
        <color rgb="00D0404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164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164" fontId="4" fillId="10" borderId="1" pivotButton="0" quotePrefix="0" xfId="0"/>
    <xf numFmtId="0" fontId="4" fillId="11" borderId="1" pivotButton="0" quotePrefix="0" xfId="0"/>
    <xf numFmtId="0" fontId="5" fillId="10" borderId="2" pivotButton="0" quotePrefix="0" xfId="0"/>
    <xf numFmtId="164" fontId="5" fillId="10" borderId="2" pivotButton="0" quotePrefix="0" xfId="0"/>
    <xf numFmtId="0" fontId="5" fillId="0" borderId="2" pivotButton="0" quotePrefix="0" xfId="0"/>
    <xf numFmtId="2" fontId="5" fillId="0" borderId="2" pivotButton="0" quotePrefix="0" xfId="0"/>
    <xf numFmtId="0" fontId="5" fillId="11" borderId="2" pivotButton="0" quotePrefix="0" xfId="0"/>
    <xf numFmtId="0" fontId="5" fillId="7" borderId="2" pivotButton="0" quotePrefix="0" xfId="0"/>
    <xf numFmtId="0" fontId="4" fillId="12" borderId="1" pivotButton="0" quotePrefix="0" xfId="0"/>
    <xf numFmtId="164" fontId="4" fillId="12" borderId="1" pivotButton="0" quotePrefix="0" xfId="0"/>
    <xf numFmtId="0" fontId="4" fillId="3" borderId="0" pivotButton="0" quotePrefix="0" xfId="0"/>
    <xf numFmtId="1" fontId="4" fillId="3" borderId="0" pivotButton="0" quotePrefix="0" xfId="0"/>
    <xf numFmtId="0" fontId="4" fillId="4" borderId="0" pivotButton="0" quotePrefix="0" xfId="0"/>
    <xf numFmtId="1" fontId="4" fillId="4" borderId="0" pivotButton="0" quotePrefix="0" xfId="0"/>
    <xf numFmtId="0" fontId="4" fillId="5" borderId="0" pivotButton="0" quotePrefix="0" xfId="0"/>
    <xf numFmtId="1" fontId="4" fillId="5" borderId="0" pivotButton="0" quotePrefix="0" xfId="0"/>
    <xf numFmtId="0" fontId="4" fillId="8" borderId="0" pivotButton="0" quotePrefix="0" xfId="0"/>
    <xf numFmtId="1" fontId="4" fillId="8" borderId="0" pivotButton="0" quotePrefix="0" xfId="0"/>
    <xf numFmtId="0" fontId="4" fillId="10" borderId="0" pivotButton="0" quotePrefix="0" xfId="0"/>
    <xf numFmtId="1" fontId="4" fillId="10" borderId="0" pivotButton="0" quotePrefix="0" xfId="0"/>
    <xf numFmtId="0" fontId="4" fillId="12" borderId="0" pivotButton="0" quotePrefix="0" xfId="0"/>
    <xf numFmtId="1" fontId="4" fillId="12" borderId="0" pivotButton="0" quotePrefix="0" xfId="0"/>
    <xf numFmtId="0" fontId="6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0" fontId="4" fillId="1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4" fillId="15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4" fillId="17" borderId="0" applyAlignment="1" pivotButton="0" quotePrefix="0" xfId="0">
      <alignment vertical="top" wrapText="1"/>
    </xf>
    <xf numFmtId="0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1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Timeline Sync Sheet — Skill 2 Cinderbind Hex · Mordrienne Vale</t>
        </is>
      </c>
    </row>
    <row r="2">
      <c r="A2" s="2" t="inlineStr"/>
    </row>
    <row r="3">
      <c r="A3" s="2" t="inlineStr">
        <is>
          <t>60 FPS · 122 frames · clip 1.89 s · strike 1 0.40 s · strike 2 1.27 s · hit 1.37 s</t>
        </is>
      </c>
    </row>
    <row r="4">
      <c r="A4" s="2" t="inlineStr">
        <is>
          <t>หน่วย: px = พิกเซลแผ่นเกม · 80 px = 1 ช่อง</t>
        </is>
      </c>
    </row>
    <row r="5">
      <c r="A5" s="2" t="inlineStr">
        <is>
          <t>ที่มา: tools/sprites/mordrienne_s2_sync.py &gt; ult_sync_sheet.py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30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8" customWidth="1" min="20" max="20"/>
    <col width="8" customWidth="1" min="21" max="21"/>
    <col width="34" customWidth="1" min="22" max="22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Phase</t>
        </is>
      </c>
      <c r="D1" s="3" t="inlineStr">
        <is>
          <t>Char</t>
        </is>
      </c>
      <c r="E1" s="3" t="inlineStr">
        <is>
          <t>Game frame</t>
        </is>
      </c>
      <c r="F1" s="3" t="inlineStr">
        <is>
          <t>Hold #</t>
        </is>
      </c>
      <c r="G1" s="3" t="inlineStr">
        <is>
          <t>Travel px</t>
        </is>
      </c>
      <c r="H1" s="3" t="inlineStr">
        <is>
          <t>Height px</t>
        </is>
      </c>
      <c r="I1" s="3" t="inlineStr">
        <is>
          <t>Travel cells</t>
        </is>
      </c>
      <c r="J1" s="3" t="inlineStr">
        <is>
          <t>Weapon tip x</t>
        </is>
      </c>
      <c r="K1" s="3" t="inlineStr">
        <is>
          <t>Weapon tip y</t>
        </is>
      </c>
      <c r="L1" s="3" t="inlineStr">
        <is>
          <t>Body x</t>
        </is>
      </c>
      <c r="M1" s="3" t="inlineStr">
        <is>
          <t>Body y</t>
        </is>
      </c>
      <c r="N1" s="3" t="inlineStr">
        <is>
          <t>Event</t>
        </is>
      </c>
      <c r="O1" s="3" t="inlineStr">
        <is>
          <t>spawn
Hex Spawn</t>
        </is>
      </c>
      <c r="P1" s="3" t="inlineStr">
        <is>
          <t>loop
Hex Loop</t>
        </is>
      </c>
      <c r="Q1" s="3" t="inlineStr">
        <is>
          <t>burst
Activation Burst</t>
        </is>
      </c>
      <c r="R1" s="3" t="inlineStr">
        <is>
          <t>tip
Wand Flash</t>
        </is>
      </c>
      <c r="S1" s="3" t="inlineStr">
        <is>
          <t>events
อีเวนต์</t>
        </is>
      </c>
      <c r="T1" s="3" t="inlineStr">
        <is>
          <t>Shake dx</t>
        </is>
      </c>
      <c r="U1" s="3" t="inlineStr">
        <is>
          <t>Shake dy</t>
        </is>
      </c>
      <c r="V1" s="3" t="inlineStr">
        <is>
          <t>Note</t>
        </is>
      </c>
    </row>
    <row r="2">
      <c r="A2" s="4" t="n">
        <v>0</v>
      </c>
      <c r="B2" s="5">
        <f>A2*1000/60</f>
        <v/>
      </c>
      <c r="C2" s="4" t="inlineStr">
        <is>
          <t>A ยืน</t>
        </is>
      </c>
      <c r="D2" s="4" t="inlineStr">
        <is>
          <t>C01</t>
        </is>
      </c>
      <c r="E2" s="4" t="inlineStr">
        <is>
          <t>S2 clip 0</t>
        </is>
      </c>
      <c r="F2" s="4" t="n">
        <v>1</v>
      </c>
      <c r="G2" s="6" t="n">
        <v>0</v>
      </c>
      <c r="H2" s="6" t="n">
        <v>0</v>
      </c>
      <c r="I2" s="7">
        <f>G2/80</f>
        <v/>
      </c>
      <c r="J2" s="6" t="n">
        <v>390</v>
      </c>
      <c r="K2" s="6" t="n">
        <v>200</v>
      </c>
      <c r="L2" s="6" t="n">
        <v>110</v>
      </c>
      <c r="M2" s="6" t="n">
        <v>160</v>
      </c>
      <c r="N2" s="6" t="inlineStr">
        <is>
          <t>IDLE</t>
        </is>
      </c>
      <c r="O2" s="6" t="inlineStr"/>
      <c r="P2" s="6" t="inlineStr"/>
      <c r="Q2" s="6" t="inlineStr"/>
      <c r="R2" s="6" t="inlineStr"/>
      <c r="S2" s="6" t="inlineStr"/>
      <c r="T2" s="6" t="n">
        <v>0</v>
      </c>
      <c r="U2" s="6" t="n">
        <v>0</v>
      </c>
      <c r="V2" s="6" t="inlineStr">
        <is>
          <t>C01</t>
        </is>
      </c>
    </row>
    <row r="3">
      <c r="A3" s="4" t="n">
        <v>1</v>
      </c>
      <c r="B3" s="5">
        <f>A3*1000/60</f>
        <v/>
      </c>
      <c r="C3" s="4" t="inlineStr">
        <is>
          <t>A ยืน</t>
        </is>
      </c>
      <c r="D3" s="4" t="inlineStr">
        <is>
          <t>C01</t>
        </is>
      </c>
      <c r="E3" s="4" t="inlineStr">
        <is>
          <t>S2 clip 0</t>
        </is>
      </c>
      <c r="F3" s="4" t="n">
        <v>2</v>
      </c>
      <c r="G3" s="6" t="n">
        <v>0</v>
      </c>
      <c r="H3" s="6" t="n">
        <v>0</v>
      </c>
      <c r="I3" s="7">
        <f>G3/80</f>
        <v/>
      </c>
      <c r="J3" s="6" t="n">
        <v>390</v>
      </c>
      <c r="K3" s="6" t="n">
        <v>200</v>
      </c>
      <c r="L3" s="6" t="n">
        <v>110</v>
      </c>
      <c r="M3" s="6" t="n">
        <v>160</v>
      </c>
      <c r="N3" s="6" t="inlineStr"/>
      <c r="O3" s="6" t="inlineStr"/>
      <c r="P3" s="6" t="inlineStr"/>
      <c r="Q3" s="6" t="inlineStr"/>
      <c r="R3" s="6" t="inlineStr"/>
      <c r="S3" s="6" t="inlineStr"/>
      <c r="T3" s="6" t="n">
        <v>0</v>
      </c>
      <c r="U3" s="6" t="n">
        <v>0</v>
      </c>
      <c r="V3" s="6" t="inlineStr"/>
    </row>
    <row r="4">
      <c r="A4" s="4" t="n">
        <v>2</v>
      </c>
      <c r="B4" s="5">
        <f>A4*1000/60</f>
        <v/>
      </c>
      <c r="C4" s="4" t="inlineStr">
        <is>
          <t>A ยืน</t>
        </is>
      </c>
      <c r="D4" s="4" t="inlineStr">
        <is>
          <t>C01</t>
        </is>
      </c>
      <c r="E4" s="4" t="inlineStr">
        <is>
          <t>S2 clip 0</t>
        </is>
      </c>
      <c r="F4" s="4" t="n">
        <v>3</v>
      </c>
      <c r="G4" s="6" t="n">
        <v>0</v>
      </c>
      <c r="H4" s="6" t="n">
        <v>0</v>
      </c>
      <c r="I4" s="7">
        <f>G4/80</f>
        <v/>
      </c>
      <c r="J4" s="6" t="n">
        <v>390</v>
      </c>
      <c r="K4" s="6" t="n">
        <v>200</v>
      </c>
      <c r="L4" s="6" t="n">
        <v>110</v>
      </c>
      <c r="M4" s="6" t="n">
        <v>160</v>
      </c>
      <c r="N4" s="6" t="inlineStr"/>
      <c r="O4" s="6" t="inlineStr"/>
      <c r="P4" s="6" t="inlineStr"/>
      <c r="Q4" s="6" t="inlineStr"/>
      <c r="R4" s="6" t="inlineStr"/>
      <c r="S4" s="6" t="inlineStr"/>
      <c r="T4" s="6" t="n">
        <v>0</v>
      </c>
      <c r="U4" s="6" t="n">
        <v>0</v>
      </c>
      <c r="V4" s="6" t="inlineStr"/>
    </row>
    <row r="5">
      <c r="A5" s="8" t="n">
        <v>3</v>
      </c>
      <c r="B5" s="9">
        <f>A5*1000/60</f>
        <v/>
      </c>
      <c r="C5" s="8" t="inlineStr">
        <is>
          <t>B ยกไม้ง้าง</t>
        </is>
      </c>
      <c r="D5" s="8" t="inlineStr">
        <is>
          <t>C02</t>
        </is>
      </c>
      <c r="E5" s="8" t="inlineStr">
        <is>
          <t>S2 clip 1</t>
        </is>
      </c>
      <c r="F5" s="8" t="n">
        <v>1</v>
      </c>
      <c r="G5" s="6" t="n">
        <v>0</v>
      </c>
      <c r="H5" s="6" t="n">
        <v>0</v>
      </c>
      <c r="I5" s="7">
        <f>G5/80</f>
        <v/>
      </c>
      <c r="J5" s="6" t="n">
        <v>390</v>
      </c>
      <c r="K5" s="6" t="n">
        <v>200</v>
      </c>
      <c r="L5" s="6" t="n">
        <v>110</v>
      </c>
      <c r="M5" s="6" t="n">
        <v>160</v>
      </c>
      <c r="N5" s="6" t="inlineStr">
        <is>
          <t>CAST_START</t>
        </is>
      </c>
      <c r="O5" s="6" t="inlineStr"/>
      <c r="P5" s="6" t="inlineStr"/>
      <c r="Q5" s="6" t="inlineStr"/>
      <c r="R5" s="6" t="inlineStr"/>
      <c r="S5" s="6" t="inlineStr"/>
      <c r="T5" s="6" t="n">
        <v>0</v>
      </c>
      <c r="U5" s="6" t="n">
        <v>0</v>
      </c>
      <c r="V5" s="6" t="inlineStr">
        <is>
          <t>C02 เริ่มท่า</t>
        </is>
      </c>
    </row>
    <row r="6">
      <c r="A6" s="8" t="n">
        <v>4</v>
      </c>
      <c r="B6" s="9">
        <f>A6*1000/60</f>
        <v/>
      </c>
      <c r="C6" s="8" t="inlineStr">
        <is>
          <t>B ยกไม้ง้าง</t>
        </is>
      </c>
      <c r="D6" s="8" t="inlineStr">
        <is>
          <t>C02</t>
        </is>
      </c>
      <c r="E6" s="8" t="inlineStr">
        <is>
          <t>S2 clip 1</t>
        </is>
      </c>
      <c r="F6" s="8" t="n">
        <v>2</v>
      </c>
      <c r="G6" s="6" t="n">
        <v>0</v>
      </c>
      <c r="H6" s="6" t="n">
        <v>0</v>
      </c>
      <c r="I6" s="7">
        <f>G6/80</f>
        <v/>
      </c>
      <c r="J6" s="6" t="n">
        <v>390</v>
      </c>
      <c r="K6" s="6" t="n">
        <v>200</v>
      </c>
      <c r="L6" s="6" t="n">
        <v>110</v>
      </c>
      <c r="M6" s="6" t="n">
        <v>160</v>
      </c>
      <c r="N6" s="6" t="inlineStr"/>
      <c r="O6" s="6" t="inlineStr"/>
      <c r="P6" s="6" t="inlineStr"/>
      <c r="Q6" s="6" t="inlineStr"/>
      <c r="R6" s="6" t="inlineStr"/>
      <c r="S6" s="6" t="inlineStr"/>
      <c r="T6" s="6" t="n">
        <v>0</v>
      </c>
      <c r="U6" s="6" t="n">
        <v>0</v>
      </c>
      <c r="V6" s="6" t="inlineStr"/>
    </row>
    <row r="7">
      <c r="A7" s="8" t="n">
        <v>5</v>
      </c>
      <c r="B7" s="9">
        <f>A7*1000/60</f>
        <v/>
      </c>
      <c r="C7" s="8" t="inlineStr">
        <is>
          <t>B ยกไม้ง้าง</t>
        </is>
      </c>
      <c r="D7" s="8" t="inlineStr">
        <is>
          <t>C02</t>
        </is>
      </c>
      <c r="E7" s="8" t="inlineStr">
        <is>
          <t>S2 clip 1</t>
        </is>
      </c>
      <c r="F7" s="8" t="n">
        <v>3</v>
      </c>
      <c r="G7" s="6" t="n">
        <v>0</v>
      </c>
      <c r="H7" s="6" t="n">
        <v>0</v>
      </c>
      <c r="I7" s="7">
        <f>G7/80</f>
        <v/>
      </c>
      <c r="J7" s="6" t="n">
        <v>390</v>
      </c>
      <c r="K7" s="6" t="n">
        <v>200</v>
      </c>
      <c r="L7" s="6" t="n">
        <v>110</v>
      </c>
      <c r="M7" s="6" t="n">
        <v>160</v>
      </c>
      <c r="N7" s="6" t="inlineStr"/>
      <c r="O7" s="6" t="inlineStr"/>
      <c r="P7" s="6" t="inlineStr"/>
      <c r="Q7" s="6" t="inlineStr"/>
      <c r="R7" s="6" t="inlineStr"/>
      <c r="S7" s="6" t="inlineStr"/>
      <c r="T7" s="6" t="n">
        <v>0</v>
      </c>
      <c r="U7" s="6" t="n">
        <v>0</v>
      </c>
      <c r="V7" s="6" t="inlineStr"/>
    </row>
    <row r="8">
      <c r="A8" s="8" t="n">
        <v>6</v>
      </c>
      <c r="B8" s="9">
        <f>A8*1000/60</f>
        <v/>
      </c>
      <c r="C8" s="8" t="inlineStr">
        <is>
          <t>B ยกไม้ง้าง</t>
        </is>
      </c>
      <c r="D8" s="8" t="inlineStr">
        <is>
          <t>C03</t>
        </is>
      </c>
      <c r="E8" s="8" t="inlineStr">
        <is>
          <t>S2 clip 2</t>
        </is>
      </c>
      <c r="F8" s="8" t="n">
        <v>1</v>
      </c>
      <c r="G8" s="6" t="n">
        <v>0</v>
      </c>
      <c r="H8" s="6" t="n">
        <v>0</v>
      </c>
      <c r="I8" s="7">
        <f>G8/80</f>
        <v/>
      </c>
      <c r="J8" s="6" t="n">
        <v>390</v>
      </c>
      <c r="K8" s="6" t="n">
        <v>200</v>
      </c>
      <c r="L8" s="6" t="n">
        <v>110</v>
      </c>
      <c r="M8" s="6" t="n">
        <v>160</v>
      </c>
      <c r="N8" s="6" t="inlineStr"/>
      <c r="O8" s="6" t="inlineStr"/>
      <c r="P8" s="6" t="inlineStr"/>
      <c r="Q8" s="6" t="inlineStr"/>
      <c r="R8" s="6" t="inlineStr"/>
      <c r="S8" s="6" t="inlineStr"/>
      <c r="T8" s="6" t="n">
        <v>0</v>
      </c>
      <c r="U8" s="6" t="n">
        <v>0</v>
      </c>
      <c r="V8" s="6" t="inlineStr"/>
    </row>
    <row r="9">
      <c r="A9" s="8" t="n">
        <v>7</v>
      </c>
      <c r="B9" s="9">
        <f>A9*1000/60</f>
        <v/>
      </c>
      <c r="C9" s="8" t="inlineStr">
        <is>
          <t>B ยกไม้ง้าง</t>
        </is>
      </c>
      <c r="D9" s="8" t="inlineStr">
        <is>
          <t>C03</t>
        </is>
      </c>
      <c r="E9" s="8" t="inlineStr">
        <is>
          <t>S2 clip 2</t>
        </is>
      </c>
      <c r="F9" s="8" t="n">
        <v>2</v>
      </c>
      <c r="G9" s="6" t="n">
        <v>0</v>
      </c>
      <c r="H9" s="6" t="n">
        <v>0</v>
      </c>
      <c r="I9" s="7">
        <f>G9/80</f>
        <v/>
      </c>
      <c r="J9" s="6" t="n">
        <v>390</v>
      </c>
      <c r="K9" s="6" t="n">
        <v>200</v>
      </c>
      <c r="L9" s="6" t="n">
        <v>110</v>
      </c>
      <c r="M9" s="6" t="n">
        <v>160</v>
      </c>
      <c r="N9" s="6" t="inlineStr"/>
      <c r="O9" s="6" t="inlineStr"/>
      <c r="P9" s="6" t="inlineStr"/>
      <c r="Q9" s="6" t="inlineStr"/>
      <c r="R9" s="6" t="inlineStr"/>
      <c r="S9" s="6" t="inlineStr"/>
      <c r="T9" s="6" t="n">
        <v>0</v>
      </c>
      <c r="U9" s="6" t="n">
        <v>0</v>
      </c>
      <c r="V9" s="6" t="inlineStr"/>
    </row>
    <row r="10">
      <c r="A10" s="8" t="n">
        <v>8</v>
      </c>
      <c r="B10" s="9">
        <f>A10*1000/60</f>
        <v/>
      </c>
      <c r="C10" s="8" t="inlineStr">
        <is>
          <t>B ยกไม้ง้าง</t>
        </is>
      </c>
      <c r="D10" s="8" t="inlineStr">
        <is>
          <t>C03</t>
        </is>
      </c>
      <c r="E10" s="8" t="inlineStr">
        <is>
          <t>S2 clip 2</t>
        </is>
      </c>
      <c r="F10" s="8" t="n">
        <v>3</v>
      </c>
      <c r="G10" s="6" t="n">
        <v>0</v>
      </c>
      <c r="H10" s="6" t="n">
        <v>0</v>
      </c>
      <c r="I10" s="7">
        <f>G10/80</f>
        <v/>
      </c>
      <c r="J10" s="6" t="n">
        <v>390</v>
      </c>
      <c r="K10" s="6" t="n">
        <v>200</v>
      </c>
      <c r="L10" s="6" t="n">
        <v>110</v>
      </c>
      <c r="M10" s="6" t="n">
        <v>160</v>
      </c>
      <c r="N10" s="6" t="inlineStr"/>
      <c r="O10" s="6" t="inlineStr"/>
      <c r="P10" s="6" t="inlineStr"/>
      <c r="Q10" s="6" t="inlineStr"/>
      <c r="R10" s="6" t="inlineStr"/>
      <c r="S10" s="6" t="inlineStr"/>
      <c r="T10" s="6" t="n">
        <v>0</v>
      </c>
      <c r="U10" s="6" t="n">
        <v>0</v>
      </c>
      <c r="V10" s="6" t="inlineStr"/>
    </row>
    <row r="11">
      <c r="A11" s="8" t="n">
        <v>9</v>
      </c>
      <c r="B11" s="9">
        <f>A11*1000/60</f>
        <v/>
      </c>
      <c r="C11" s="8" t="inlineStr">
        <is>
          <t>B ยกไม้ง้าง</t>
        </is>
      </c>
      <c r="D11" s="8" t="inlineStr">
        <is>
          <t>C04</t>
        </is>
      </c>
      <c r="E11" s="8" t="inlineStr">
        <is>
          <t>S2 clip 3</t>
        </is>
      </c>
      <c r="F11" s="8" t="n">
        <v>1</v>
      </c>
      <c r="G11" s="6" t="n">
        <v>0</v>
      </c>
      <c r="H11" s="6" t="n">
        <v>0</v>
      </c>
      <c r="I11" s="7">
        <f>G11/80</f>
        <v/>
      </c>
      <c r="J11" s="6" t="n">
        <v>390</v>
      </c>
      <c r="K11" s="6" t="n">
        <v>200</v>
      </c>
      <c r="L11" s="6" t="n">
        <v>110</v>
      </c>
      <c r="M11" s="6" t="n">
        <v>160</v>
      </c>
      <c r="N11" s="6" t="inlineStr"/>
      <c r="O11" s="6" t="inlineStr"/>
      <c r="P11" s="6" t="inlineStr"/>
      <c r="Q11" s="6" t="inlineStr"/>
      <c r="R11" s="6" t="inlineStr"/>
      <c r="S11" s="6" t="inlineStr"/>
      <c r="T11" s="6" t="n">
        <v>0</v>
      </c>
      <c r="U11" s="6" t="n">
        <v>0</v>
      </c>
      <c r="V11" s="6" t="inlineStr"/>
    </row>
    <row r="12">
      <c r="A12" s="8" t="n">
        <v>10</v>
      </c>
      <c r="B12" s="9">
        <f>A12*1000/60</f>
        <v/>
      </c>
      <c r="C12" s="8" t="inlineStr">
        <is>
          <t>B ยกไม้ง้าง</t>
        </is>
      </c>
      <c r="D12" s="8" t="inlineStr">
        <is>
          <t>C04</t>
        </is>
      </c>
      <c r="E12" s="8" t="inlineStr">
        <is>
          <t>S2 clip 3</t>
        </is>
      </c>
      <c r="F12" s="8" t="n">
        <v>2</v>
      </c>
      <c r="G12" s="6" t="n">
        <v>0</v>
      </c>
      <c r="H12" s="6" t="n">
        <v>0</v>
      </c>
      <c r="I12" s="7">
        <f>G12/80</f>
        <v/>
      </c>
      <c r="J12" s="6" t="n">
        <v>390</v>
      </c>
      <c r="K12" s="6" t="n">
        <v>200</v>
      </c>
      <c r="L12" s="6" t="n">
        <v>110</v>
      </c>
      <c r="M12" s="6" t="n">
        <v>160</v>
      </c>
      <c r="N12" s="6" t="inlineStr"/>
      <c r="O12" s="6" t="inlineStr"/>
      <c r="P12" s="6" t="inlineStr"/>
      <c r="Q12" s="6" t="inlineStr"/>
      <c r="R12" s="6" t="inlineStr"/>
      <c r="S12" s="6" t="inlineStr"/>
      <c r="T12" s="6" t="n">
        <v>0</v>
      </c>
      <c r="U12" s="6" t="n">
        <v>0</v>
      </c>
      <c r="V12" s="6" t="inlineStr"/>
    </row>
    <row r="13">
      <c r="A13" s="8" t="n">
        <v>11</v>
      </c>
      <c r="B13" s="9">
        <f>A13*1000/60</f>
        <v/>
      </c>
      <c r="C13" s="8" t="inlineStr">
        <is>
          <t>B ยกไม้ง้าง</t>
        </is>
      </c>
      <c r="D13" s="8" t="inlineStr">
        <is>
          <t>C04</t>
        </is>
      </c>
      <c r="E13" s="8" t="inlineStr">
        <is>
          <t>S2 clip 3</t>
        </is>
      </c>
      <c r="F13" s="8" t="n">
        <v>3</v>
      </c>
      <c r="G13" s="6" t="n">
        <v>0</v>
      </c>
      <c r="H13" s="6" t="n">
        <v>0</v>
      </c>
      <c r="I13" s="7">
        <f>G13/80</f>
        <v/>
      </c>
      <c r="J13" s="6" t="n">
        <v>390</v>
      </c>
      <c r="K13" s="6" t="n">
        <v>200</v>
      </c>
      <c r="L13" s="6" t="n">
        <v>110</v>
      </c>
      <c r="M13" s="6" t="n">
        <v>160</v>
      </c>
      <c r="N13" s="6" t="inlineStr"/>
      <c r="O13" s="6" t="inlineStr"/>
      <c r="P13" s="6" t="inlineStr"/>
      <c r="Q13" s="6" t="inlineStr"/>
      <c r="R13" s="6" t="inlineStr"/>
      <c r="S13" s="6" t="inlineStr"/>
      <c r="T13" s="6" t="n">
        <v>0</v>
      </c>
      <c r="U13" s="6" t="n">
        <v>0</v>
      </c>
      <c r="V13" s="6" t="inlineStr"/>
    </row>
    <row r="14">
      <c r="A14" s="8" t="n">
        <v>12</v>
      </c>
      <c r="B14" s="9">
        <f>A14*1000/60</f>
        <v/>
      </c>
      <c r="C14" s="8" t="inlineStr">
        <is>
          <t>B ยกไม้ง้าง</t>
        </is>
      </c>
      <c r="D14" s="8" t="inlineStr">
        <is>
          <t>C05</t>
        </is>
      </c>
      <c r="E14" s="8" t="inlineStr">
        <is>
          <t>S2 clip 4</t>
        </is>
      </c>
      <c r="F14" s="8" t="n">
        <v>1</v>
      </c>
      <c r="G14" s="6" t="n">
        <v>0</v>
      </c>
      <c r="H14" s="6" t="n">
        <v>0</v>
      </c>
      <c r="I14" s="7">
        <f>G14/80</f>
        <v/>
      </c>
      <c r="J14" s="6" t="n">
        <v>390</v>
      </c>
      <c r="K14" s="6" t="n">
        <v>200</v>
      </c>
      <c r="L14" s="6" t="n">
        <v>110</v>
      </c>
      <c r="M14" s="6" t="n">
        <v>160</v>
      </c>
      <c r="N14" s="6" t="inlineStr"/>
      <c r="O14" s="6" t="inlineStr"/>
      <c r="P14" s="6" t="inlineStr"/>
      <c r="Q14" s="6" t="inlineStr"/>
      <c r="R14" s="6" t="inlineStr"/>
      <c r="S14" s="6" t="inlineStr"/>
      <c r="T14" s="6" t="n">
        <v>0</v>
      </c>
      <c r="U14" s="6" t="n">
        <v>0</v>
      </c>
      <c r="V14" s="6" t="inlineStr"/>
    </row>
    <row r="15">
      <c r="A15" s="8" t="n">
        <v>13</v>
      </c>
      <c r="B15" s="9">
        <f>A15*1000/60</f>
        <v/>
      </c>
      <c r="C15" s="8" t="inlineStr">
        <is>
          <t>B ยกไม้ง้าง</t>
        </is>
      </c>
      <c r="D15" s="8" t="inlineStr">
        <is>
          <t>C05</t>
        </is>
      </c>
      <c r="E15" s="8" t="inlineStr">
        <is>
          <t>S2 clip 4</t>
        </is>
      </c>
      <c r="F15" s="8" t="n">
        <v>2</v>
      </c>
      <c r="G15" s="6" t="n">
        <v>0</v>
      </c>
      <c r="H15" s="6" t="n">
        <v>0</v>
      </c>
      <c r="I15" s="7">
        <f>G15/80</f>
        <v/>
      </c>
      <c r="J15" s="6" t="n">
        <v>390</v>
      </c>
      <c r="K15" s="6" t="n">
        <v>200</v>
      </c>
      <c r="L15" s="6" t="n">
        <v>110</v>
      </c>
      <c r="M15" s="6" t="n">
        <v>160</v>
      </c>
      <c r="N15" s="6" t="inlineStr"/>
      <c r="O15" s="6" t="inlineStr"/>
      <c r="P15" s="6" t="inlineStr"/>
      <c r="Q15" s="6" t="inlineStr"/>
      <c r="R15" s="6" t="inlineStr"/>
      <c r="S15" s="6" t="inlineStr"/>
      <c r="T15" s="6" t="n">
        <v>0</v>
      </c>
      <c r="U15" s="6" t="n">
        <v>0</v>
      </c>
      <c r="V15" s="6" t="inlineStr"/>
    </row>
    <row r="16">
      <c r="A16" s="8" t="n">
        <v>14</v>
      </c>
      <c r="B16" s="9">
        <f>A16*1000/60</f>
        <v/>
      </c>
      <c r="C16" s="8" t="inlineStr">
        <is>
          <t>B ยกไม้ง้าง</t>
        </is>
      </c>
      <c r="D16" s="8" t="inlineStr">
        <is>
          <t>C05</t>
        </is>
      </c>
      <c r="E16" s="8" t="inlineStr">
        <is>
          <t>S2 clip 4</t>
        </is>
      </c>
      <c r="F16" s="8" t="n">
        <v>3</v>
      </c>
      <c r="G16" s="6" t="n">
        <v>0</v>
      </c>
      <c r="H16" s="6" t="n">
        <v>0</v>
      </c>
      <c r="I16" s="7">
        <f>G16/80</f>
        <v/>
      </c>
      <c r="J16" s="6" t="n">
        <v>390</v>
      </c>
      <c r="K16" s="6" t="n">
        <v>200</v>
      </c>
      <c r="L16" s="6" t="n">
        <v>110</v>
      </c>
      <c r="M16" s="6" t="n">
        <v>160</v>
      </c>
      <c r="N16" s="6" t="inlineStr"/>
      <c r="O16" s="6" t="inlineStr"/>
      <c r="P16" s="6" t="inlineStr"/>
      <c r="Q16" s="6" t="inlineStr"/>
      <c r="R16" s="6" t="inlineStr"/>
      <c r="S16" s="6" t="inlineStr"/>
      <c r="T16" s="6" t="n">
        <v>0</v>
      </c>
      <c r="U16" s="6" t="n">
        <v>0</v>
      </c>
      <c r="V16" s="6" t="inlineStr"/>
    </row>
    <row r="17">
      <c r="A17" s="8" t="n">
        <v>15</v>
      </c>
      <c r="B17" s="9">
        <f>A17*1000/60</f>
        <v/>
      </c>
      <c r="C17" s="8" t="inlineStr">
        <is>
          <t>B ยกไม้ง้าง</t>
        </is>
      </c>
      <c r="D17" s="8" t="inlineStr">
        <is>
          <t>C06</t>
        </is>
      </c>
      <c r="E17" s="8" t="inlineStr">
        <is>
          <t>S2 clip 5</t>
        </is>
      </c>
      <c r="F17" s="8" t="n">
        <v>1</v>
      </c>
      <c r="G17" s="6" t="n">
        <v>0</v>
      </c>
      <c r="H17" s="6" t="n">
        <v>0</v>
      </c>
      <c r="I17" s="7">
        <f>G17/80</f>
        <v/>
      </c>
      <c r="J17" s="6" t="n">
        <v>390</v>
      </c>
      <c r="K17" s="6" t="n">
        <v>200</v>
      </c>
      <c r="L17" s="6" t="n">
        <v>110</v>
      </c>
      <c r="M17" s="6" t="n">
        <v>160</v>
      </c>
      <c r="N17" s="6" t="inlineStr"/>
      <c r="O17" s="6" t="inlineStr"/>
      <c r="P17" s="6" t="inlineStr"/>
      <c r="Q17" s="6" t="inlineStr"/>
      <c r="R17" s="6" t="inlineStr"/>
      <c r="S17" s="6" t="inlineStr"/>
      <c r="T17" s="6" t="n">
        <v>0</v>
      </c>
      <c r="U17" s="6" t="n">
        <v>0</v>
      </c>
      <c r="V17" s="6" t="inlineStr"/>
    </row>
    <row r="18">
      <c r="A18" s="8" t="n">
        <v>16</v>
      </c>
      <c r="B18" s="9">
        <f>A18*1000/60</f>
        <v/>
      </c>
      <c r="C18" s="8" t="inlineStr">
        <is>
          <t>B ยกไม้ง้าง</t>
        </is>
      </c>
      <c r="D18" s="8" t="inlineStr">
        <is>
          <t>C06</t>
        </is>
      </c>
      <c r="E18" s="8" t="inlineStr">
        <is>
          <t>S2 clip 5</t>
        </is>
      </c>
      <c r="F18" s="8" t="n">
        <v>2</v>
      </c>
      <c r="G18" s="6" t="n">
        <v>0</v>
      </c>
      <c r="H18" s="6" t="n">
        <v>0</v>
      </c>
      <c r="I18" s="7">
        <f>G18/80</f>
        <v/>
      </c>
      <c r="J18" s="6" t="n">
        <v>390</v>
      </c>
      <c r="K18" s="6" t="n">
        <v>200</v>
      </c>
      <c r="L18" s="6" t="n">
        <v>110</v>
      </c>
      <c r="M18" s="6" t="n">
        <v>160</v>
      </c>
      <c r="N18" s="6" t="inlineStr"/>
      <c r="O18" s="6" t="inlineStr"/>
      <c r="P18" s="6" t="inlineStr"/>
      <c r="Q18" s="6" t="inlineStr"/>
      <c r="R18" s="6" t="inlineStr"/>
      <c r="S18" s="6" t="inlineStr"/>
      <c r="T18" s="6" t="n">
        <v>0</v>
      </c>
      <c r="U18" s="6" t="n">
        <v>0</v>
      </c>
      <c r="V18" s="6" t="inlineStr"/>
    </row>
    <row r="19">
      <c r="A19" s="8" t="n">
        <v>17</v>
      </c>
      <c r="B19" s="9">
        <f>A19*1000/60</f>
        <v/>
      </c>
      <c r="C19" s="8" t="inlineStr">
        <is>
          <t>B ยกไม้ง้าง</t>
        </is>
      </c>
      <c r="D19" s="8" t="inlineStr">
        <is>
          <t>C06</t>
        </is>
      </c>
      <c r="E19" s="8" t="inlineStr">
        <is>
          <t>S2 clip 5</t>
        </is>
      </c>
      <c r="F19" s="8" t="n">
        <v>3</v>
      </c>
      <c r="G19" s="6" t="n">
        <v>0</v>
      </c>
      <c r="H19" s="6" t="n">
        <v>0</v>
      </c>
      <c r="I19" s="7">
        <f>G19/80</f>
        <v/>
      </c>
      <c r="J19" s="6" t="n">
        <v>390</v>
      </c>
      <c r="K19" s="6" t="n">
        <v>200</v>
      </c>
      <c r="L19" s="6" t="n">
        <v>110</v>
      </c>
      <c r="M19" s="6" t="n">
        <v>160</v>
      </c>
      <c r="N19" s="6" t="inlineStr"/>
      <c r="O19" s="6" t="inlineStr"/>
      <c r="P19" s="6" t="inlineStr"/>
      <c r="Q19" s="6" t="inlineStr"/>
      <c r="R19" s="6" t="inlineStr"/>
      <c r="S19" s="6" t="inlineStr"/>
      <c r="T19" s="6" t="n">
        <v>0</v>
      </c>
      <c r="U19" s="6" t="n">
        <v>0</v>
      </c>
      <c r="V19" s="6" t="inlineStr"/>
    </row>
    <row r="20">
      <c r="A20" s="8" t="n">
        <v>18</v>
      </c>
      <c r="B20" s="9">
        <f>A20*1000/60</f>
        <v/>
      </c>
      <c r="C20" s="8" t="inlineStr">
        <is>
          <t>B ยกไม้ง้าง</t>
        </is>
      </c>
      <c r="D20" s="8" t="inlineStr">
        <is>
          <t>C07</t>
        </is>
      </c>
      <c r="E20" s="8" t="inlineStr">
        <is>
          <t>S2 clip 6</t>
        </is>
      </c>
      <c r="F20" s="8" t="n">
        <v>1</v>
      </c>
      <c r="G20" s="6" t="n">
        <v>0</v>
      </c>
      <c r="H20" s="6" t="n">
        <v>0</v>
      </c>
      <c r="I20" s="7">
        <f>G20/80</f>
        <v/>
      </c>
      <c r="J20" s="6" t="n">
        <v>390</v>
      </c>
      <c r="K20" s="6" t="n">
        <v>200</v>
      </c>
      <c r="L20" s="6" t="n">
        <v>110</v>
      </c>
      <c r="M20" s="6" t="n">
        <v>160</v>
      </c>
      <c r="N20" s="6" t="inlineStr"/>
      <c r="O20" s="6" t="inlineStr"/>
      <c r="P20" s="6" t="inlineStr"/>
      <c r="Q20" s="6" t="inlineStr"/>
      <c r="R20" s="6" t="inlineStr"/>
      <c r="S20" s="6" t="inlineStr"/>
      <c r="T20" s="6" t="n">
        <v>0</v>
      </c>
      <c r="U20" s="6" t="n">
        <v>0</v>
      </c>
      <c r="V20" s="6" t="inlineStr"/>
    </row>
    <row r="21">
      <c r="A21" s="8" t="n">
        <v>19</v>
      </c>
      <c r="B21" s="9">
        <f>A21*1000/60</f>
        <v/>
      </c>
      <c r="C21" s="8" t="inlineStr">
        <is>
          <t>B ยกไม้ง้าง</t>
        </is>
      </c>
      <c r="D21" s="8" t="inlineStr">
        <is>
          <t>C07</t>
        </is>
      </c>
      <c r="E21" s="8" t="inlineStr">
        <is>
          <t>S2 clip 6</t>
        </is>
      </c>
      <c r="F21" s="8" t="n">
        <v>2</v>
      </c>
      <c r="G21" s="6" t="n">
        <v>0</v>
      </c>
      <c r="H21" s="6" t="n">
        <v>0</v>
      </c>
      <c r="I21" s="7">
        <f>G21/80</f>
        <v/>
      </c>
      <c r="J21" s="6" t="n">
        <v>390</v>
      </c>
      <c r="K21" s="6" t="n">
        <v>200</v>
      </c>
      <c r="L21" s="6" t="n">
        <v>110</v>
      </c>
      <c r="M21" s="6" t="n">
        <v>160</v>
      </c>
      <c r="N21" s="6" t="inlineStr"/>
      <c r="O21" s="6" t="inlineStr"/>
      <c r="P21" s="6" t="inlineStr"/>
      <c r="Q21" s="6" t="inlineStr"/>
      <c r="R21" s="6" t="inlineStr"/>
      <c r="S21" s="6" t="inlineStr"/>
      <c r="T21" s="6" t="n">
        <v>0</v>
      </c>
      <c r="U21" s="6" t="n">
        <v>0</v>
      </c>
      <c r="V21" s="6" t="inlineStr"/>
    </row>
    <row r="22">
      <c r="A22" s="8" t="n">
        <v>20</v>
      </c>
      <c r="B22" s="9">
        <f>A22*1000/60</f>
        <v/>
      </c>
      <c r="C22" s="8" t="inlineStr">
        <is>
          <t>B ยกไม้ง้าง</t>
        </is>
      </c>
      <c r="D22" s="8" t="inlineStr">
        <is>
          <t>C07</t>
        </is>
      </c>
      <c r="E22" s="8" t="inlineStr">
        <is>
          <t>S2 clip 6</t>
        </is>
      </c>
      <c r="F22" s="8" t="n">
        <v>3</v>
      </c>
      <c r="G22" s="6" t="n">
        <v>0</v>
      </c>
      <c r="H22" s="6" t="n">
        <v>0</v>
      </c>
      <c r="I22" s="7">
        <f>G22/80</f>
        <v/>
      </c>
      <c r="J22" s="6" t="n">
        <v>390</v>
      </c>
      <c r="K22" s="6" t="n">
        <v>200</v>
      </c>
      <c r="L22" s="6" t="n">
        <v>110</v>
      </c>
      <c r="M22" s="6" t="n">
        <v>160</v>
      </c>
      <c r="N22" s="6" t="inlineStr"/>
      <c r="O22" s="6" t="inlineStr"/>
      <c r="P22" s="6" t="inlineStr"/>
      <c r="Q22" s="6" t="inlineStr"/>
      <c r="R22" s="6" t="inlineStr"/>
      <c r="S22" s="6" t="inlineStr"/>
      <c r="T22" s="6" t="n">
        <v>0</v>
      </c>
      <c r="U22" s="6" t="n">
        <v>0</v>
      </c>
      <c r="V22" s="6" t="inlineStr"/>
    </row>
    <row r="23">
      <c r="A23" s="8" t="n">
        <v>21</v>
      </c>
      <c r="B23" s="9">
        <f>A23*1000/60</f>
        <v/>
      </c>
      <c r="C23" s="8" t="inlineStr">
        <is>
          <t>B ยกไม้ง้าง</t>
        </is>
      </c>
      <c r="D23" s="8" t="inlineStr">
        <is>
          <t>C08</t>
        </is>
      </c>
      <c r="E23" s="8" t="inlineStr">
        <is>
          <t>S2 clip 7</t>
        </is>
      </c>
      <c r="F23" s="8" t="n">
        <v>1</v>
      </c>
      <c r="G23" s="6" t="n">
        <v>0</v>
      </c>
      <c r="H23" s="6" t="n">
        <v>0</v>
      </c>
      <c r="I23" s="7">
        <f>G23/80</f>
        <v/>
      </c>
      <c r="J23" s="6" t="n">
        <v>390</v>
      </c>
      <c r="K23" s="6" t="n">
        <v>200</v>
      </c>
      <c r="L23" s="6" t="n">
        <v>110</v>
      </c>
      <c r="M23" s="6" t="n">
        <v>160</v>
      </c>
      <c r="N23" s="6" t="inlineStr">
        <is>
          <t>STRIKE_START #1</t>
        </is>
      </c>
      <c r="O23" s="6" t="inlineStr"/>
      <c r="P23" s="6" t="inlineStr"/>
      <c r="Q23" s="6" t="inlineStr"/>
      <c r="R23" s="6" t="inlineStr"/>
      <c r="S23" s="6" t="inlineStr"/>
      <c r="T23" s="6" t="n">
        <v>0</v>
      </c>
      <c r="U23" s="6" t="n">
        <v>0</v>
      </c>
      <c r="V23" s="6" t="inlineStr">
        <is>
          <t>C08</t>
        </is>
      </c>
    </row>
    <row r="24">
      <c r="A24" s="8" t="n">
        <v>22</v>
      </c>
      <c r="B24" s="9">
        <f>A24*1000/60</f>
        <v/>
      </c>
      <c r="C24" s="8" t="inlineStr">
        <is>
          <t>B ยกไม้ง้าง</t>
        </is>
      </c>
      <c r="D24" s="8" t="inlineStr">
        <is>
          <t>C08</t>
        </is>
      </c>
      <c r="E24" s="8" t="inlineStr">
        <is>
          <t>S2 clip 7</t>
        </is>
      </c>
      <c r="F24" s="8" t="n">
        <v>2</v>
      </c>
      <c r="G24" s="6" t="n">
        <v>0</v>
      </c>
      <c r="H24" s="6" t="n">
        <v>0</v>
      </c>
      <c r="I24" s="7">
        <f>G24/80</f>
        <v/>
      </c>
      <c r="J24" s="6" t="n">
        <v>390</v>
      </c>
      <c r="K24" s="6" t="n">
        <v>200</v>
      </c>
      <c r="L24" s="6" t="n">
        <v>110</v>
      </c>
      <c r="M24" s="6" t="n">
        <v>160</v>
      </c>
      <c r="N24" s="6" t="inlineStr"/>
      <c r="O24" s="6" t="inlineStr"/>
      <c r="P24" s="6" t="inlineStr"/>
      <c r="Q24" s="6" t="inlineStr"/>
      <c r="R24" s="6" t="inlineStr"/>
      <c r="S24" s="6" t="inlineStr"/>
      <c r="T24" s="6" t="n">
        <v>0</v>
      </c>
      <c r="U24" s="6" t="n">
        <v>0</v>
      </c>
      <c r="V24" s="6" t="inlineStr"/>
    </row>
    <row r="25">
      <c r="A25" s="8" t="n">
        <v>23</v>
      </c>
      <c r="B25" s="9">
        <f>A25*1000/60</f>
        <v/>
      </c>
      <c r="C25" s="8" t="inlineStr">
        <is>
          <t>B ยกไม้ง้าง</t>
        </is>
      </c>
      <c r="D25" s="8" t="inlineStr">
        <is>
          <t>C08</t>
        </is>
      </c>
      <c r="E25" s="8" t="inlineStr">
        <is>
          <t>S2 clip 7</t>
        </is>
      </c>
      <c r="F25" s="8" t="n">
        <v>3</v>
      </c>
      <c r="G25" s="6" t="n">
        <v>0</v>
      </c>
      <c r="H25" s="6" t="n">
        <v>0</v>
      </c>
      <c r="I25" s="7">
        <f>G25/80</f>
        <v/>
      </c>
      <c r="J25" s="6" t="n">
        <v>390</v>
      </c>
      <c r="K25" s="6" t="n">
        <v>200</v>
      </c>
      <c r="L25" s="6" t="n">
        <v>110</v>
      </c>
      <c r="M25" s="6" t="n">
        <v>160</v>
      </c>
      <c r="N25" s="6" t="inlineStr"/>
      <c r="O25" s="6" t="inlineStr"/>
      <c r="P25" s="6" t="inlineStr"/>
      <c r="Q25" s="6" t="inlineStr"/>
      <c r="R25" s="6" t="inlineStr"/>
      <c r="S25" s="6" t="inlineStr"/>
      <c r="T25" s="6" t="n">
        <v>0</v>
      </c>
      <c r="U25" s="6" t="n">
        <v>0</v>
      </c>
      <c r="V25" s="6" t="inlineStr"/>
    </row>
    <row r="26">
      <c r="A26" s="10" t="n">
        <v>24</v>
      </c>
      <c r="B26" s="11">
        <f>A26*1000/60</f>
        <v/>
      </c>
      <c r="C26" s="10" t="inlineStr">
        <is>
          <t>C ตีพื้น = วางวงเฮ็กซ์</t>
        </is>
      </c>
      <c r="D26" s="10" t="inlineStr">
        <is>
          <t>C09</t>
        </is>
      </c>
      <c r="E26" s="10" t="inlineStr">
        <is>
          <t>S2 clip 8</t>
        </is>
      </c>
      <c r="F26" s="10" t="n">
        <v>1</v>
      </c>
      <c r="G26" s="6" t="n">
        <v>0</v>
      </c>
      <c r="H26" s="6" t="n">
        <v>0</v>
      </c>
      <c r="I26" s="7">
        <f>G26/80</f>
        <v/>
      </c>
      <c r="J26" s="6" t="n">
        <v>390</v>
      </c>
      <c r="K26" s="6" t="n">
        <v>200</v>
      </c>
      <c r="L26" s="6" t="n">
        <v>110</v>
      </c>
      <c r="M26" s="6" t="n">
        <v>160</v>
      </c>
      <c r="N26" s="6" t="inlineStr">
        <is>
          <t>STRIKE 1 · HEX SPAWN</t>
        </is>
      </c>
      <c r="O26" s="12" t="inlineStr">
        <is>
          <t>f1 · 100% · under</t>
        </is>
      </c>
      <c r="P26" s="6" t="inlineStr"/>
      <c r="Q26" s="6" t="inlineStr"/>
      <c r="R26" s="13" t="inlineStr">
        <is>
          <t>f1 · 100% · over</t>
        </is>
      </c>
      <c r="S26" s="6" t="inlineStr"/>
      <c r="T26" s="6" t="n">
        <v>0</v>
      </c>
      <c r="U26" s="6" t="n">
        <v>0</v>
      </c>
      <c r="V26" s="6" t="inlineStr">
        <is>
          <t>C09 · วงเฮ็กซ์เกิดบนพื้น (ไม่ติดตัว)</t>
        </is>
      </c>
    </row>
    <row r="27">
      <c r="A27" s="10" t="n">
        <v>25</v>
      </c>
      <c r="B27" s="11">
        <f>A27*1000/60</f>
        <v/>
      </c>
      <c r="C27" s="10" t="inlineStr">
        <is>
          <t>C ตีพื้น = วางวงเฮ็กซ์</t>
        </is>
      </c>
      <c r="D27" s="10" t="inlineStr">
        <is>
          <t>C09</t>
        </is>
      </c>
      <c r="E27" s="10" t="inlineStr">
        <is>
          <t>S2 clip 8</t>
        </is>
      </c>
      <c r="F27" s="10" t="n">
        <v>2</v>
      </c>
      <c r="G27" s="6" t="n">
        <v>0</v>
      </c>
      <c r="H27" s="6" t="n">
        <v>0</v>
      </c>
      <c r="I27" s="7">
        <f>G27/80</f>
        <v/>
      </c>
      <c r="J27" s="6" t="n">
        <v>390</v>
      </c>
      <c r="K27" s="6" t="n">
        <v>200</v>
      </c>
      <c r="L27" s="6" t="n">
        <v>110</v>
      </c>
      <c r="M27" s="6" t="n">
        <v>160</v>
      </c>
      <c r="N27" s="6" t="inlineStr"/>
      <c r="O27" s="12" t="inlineStr">
        <is>
          <t>f1 · 100% · under</t>
        </is>
      </c>
      <c r="P27" s="6" t="inlineStr"/>
      <c r="Q27" s="6" t="inlineStr"/>
      <c r="R27" s="13" t="inlineStr">
        <is>
          <t>f1 · 100% · over</t>
        </is>
      </c>
      <c r="S27" s="6" t="inlineStr"/>
      <c r="T27" s="6" t="n">
        <v>0</v>
      </c>
      <c r="U27" s="6" t="n">
        <v>0</v>
      </c>
      <c r="V27" s="6" t="inlineStr"/>
    </row>
    <row r="28">
      <c r="A28" s="10" t="n">
        <v>26</v>
      </c>
      <c r="B28" s="11">
        <f>A28*1000/60</f>
        <v/>
      </c>
      <c r="C28" s="10" t="inlineStr">
        <is>
          <t>C ตีพื้น = วางวงเฮ็กซ์</t>
        </is>
      </c>
      <c r="D28" s="10" t="inlineStr">
        <is>
          <t>C09</t>
        </is>
      </c>
      <c r="E28" s="10" t="inlineStr">
        <is>
          <t>S2 clip 8</t>
        </is>
      </c>
      <c r="F28" s="10" t="n">
        <v>3</v>
      </c>
      <c r="G28" s="6" t="n">
        <v>0</v>
      </c>
      <c r="H28" s="6" t="n">
        <v>0</v>
      </c>
      <c r="I28" s="7">
        <f>G28/80</f>
        <v/>
      </c>
      <c r="J28" s="6" t="n">
        <v>390</v>
      </c>
      <c r="K28" s="6" t="n">
        <v>200</v>
      </c>
      <c r="L28" s="6" t="n">
        <v>110</v>
      </c>
      <c r="M28" s="6" t="n">
        <v>160</v>
      </c>
      <c r="N28" s="6" t="inlineStr"/>
      <c r="O28" s="12" t="inlineStr">
        <is>
          <t>f2 · 100% · under</t>
        </is>
      </c>
      <c r="P28" s="6" t="inlineStr"/>
      <c r="Q28" s="6" t="inlineStr"/>
      <c r="R28" s="13" t="inlineStr">
        <is>
          <t>f1 · 100% · over</t>
        </is>
      </c>
      <c r="S28" s="6" t="inlineStr"/>
      <c r="T28" s="6" t="n">
        <v>0</v>
      </c>
      <c r="U28" s="6" t="n">
        <v>0</v>
      </c>
      <c r="V28" s="6" t="inlineStr"/>
    </row>
    <row r="29">
      <c r="A29" s="10" t="n">
        <v>27</v>
      </c>
      <c r="B29" s="11">
        <f>A29*1000/60</f>
        <v/>
      </c>
      <c r="C29" s="10" t="inlineStr">
        <is>
          <t>C ตีพื้น = วางวงเฮ็กซ์</t>
        </is>
      </c>
      <c r="D29" s="10" t="inlineStr">
        <is>
          <t>C09</t>
        </is>
      </c>
      <c r="E29" s="10" t="inlineStr">
        <is>
          <t>S2 clip 8</t>
        </is>
      </c>
      <c r="F29" s="10" t="n">
        <v>4</v>
      </c>
      <c r="G29" s="6" t="n">
        <v>0</v>
      </c>
      <c r="H29" s="6" t="n">
        <v>0</v>
      </c>
      <c r="I29" s="7">
        <f>G29/80</f>
        <v/>
      </c>
      <c r="J29" s="6" t="n">
        <v>390</v>
      </c>
      <c r="K29" s="6" t="n">
        <v>200</v>
      </c>
      <c r="L29" s="6" t="n">
        <v>110</v>
      </c>
      <c r="M29" s="6" t="n">
        <v>160</v>
      </c>
      <c r="N29" s="6" t="inlineStr"/>
      <c r="O29" s="12" t="inlineStr">
        <is>
          <t>f2 · 100% · under</t>
        </is>
      </c>
      <c r="P29" s="6" t="inlineStr"/>
      <c r="Q29" s="6" t="inlineStr"/>
      <c r="R29" s="13" t="inlineStr">
        <is>
          <t>f2 · 100% · over</t>
        </is>
      </c>
      <c r="S29" s="6" t="inlineStr"/>
      <c r="T29" s="6" t="n">
        <v>0</v>
      </c>
      <c r="U29" s="6" t="n">
        <v>0</v>
      </c>
      <c r="V29" s="6" t="inlineStr"/>
    </row>
    <row r="30">
      <c r="A30" s="10" t="n">
        <v>28</v>
      </c>
      <c r="B30" s="11">
        <f>A30*1000/60</f>
        <v/>
      </c>
      <c r="C30" s="10" t="inlineStr">
        <is>
          <t>C ตีพื้น = วางวงเฮ็กซ์</t>
        </is>
      </c>
      <c r="D30" s="10" t="inlineStr">
        <is>
          <t>C09</t>
        </is>
      </c>
      <c r="E30" s="10" t="inlineStr">
        <is>
          <t>S2 clip 8</t>
        </is>
      </c>
      <c r="F30" s="10" t="n">
        <v>5</v>
      </c>
      <c r="G30" s="6" t="n">
        <v>0</v>
      </c>
      <c r="H30" s="6" t="n">
        <v>0</v>
      </c>
      <c r="I30" s="7">
        <f>G30/80</f>
        <v/>
      </c>
      <c r="J30" s="6" t="n">
        <v>390</v>
      </c>
      <c r="K30" s="6" t="n">
        <v>200</v>
      </c>
      <c r="L30" s="6" t="n">
        <v>110</v>
      </c>
      <c r="M30" s="6" t="n">
        <v>160</v>
      </c>
      <c r="N30" s="6" t="inlineStr"/>
      <c r="O30" s="12" t="inlineStr">
        <is>
          <t>f3 · 100% · under</t>
        </is>
      </c>
      <c r="P30" s="6" t="inlineStr"/>
      <c r="Q30" s="6" t="inlineStr"/>
      <c r="R30" s="13" t="inlineStr">
        <is>
          <t>f2 · 100% · over</t>
        </is>
      </c>
      <c r="S30" s="6" t="inlineStr"/>
      <c r="T30" s="6" t="n">
        <v>0</v>
      </c>
      <c r="U30" s="6" t="n">
        <v>0</v>
      </c>
      <c r="V30" s="6" t="inlineStr"/>
    </row>
    <row r="31">
      <c r="A31" s="10" t="n">
        <v>29</v>
      </c>
      <c r="B31" s="11">
        <f>A31*1000/60</f>
        <v/>
      </c>
      <c r="C31" s="10" t="inlineStr">
        <is>
          <t>C ตีพื้น = วางวงเฮ็กซ์</t>
        </is>
      </c>
      <c r="D31" s="10" t="inlineStr">
        <is>
          <t>C09</t>
        </is>
      </c>
      <c r="E31" s="10" t="inlineStr">
        <is>
          <t>S2 clip 8</t>
        </is>
      </c>
      <c r="F31" s="10" t="n">
        <v>6</v>
      </c>
      <c r="G31" s="6" t="n">
        <v>0</v>
      </c>
      <c r="H31" s="6" t="n">
        <v>0</v>
      </c>
      <c r="I31" s="7">
        <f>G31/80</f>
        <v/>
      </c>
      <c r="J31" s="6" t="n">
        <v>390</v>
      </c>
      <c r="K31" s="6" t="n">
        <v>200</v>
      </c>
      <c r="L31" s="6" t="n">
        <v>110</v>
      </c>
      <c r="M31" s="6" t="n">
        <v>160</v>
      </c>
      <c r="N31" s="6" t="inlineStr"/>
      <c r="O31" s="12" t="inlineStr">
        <is>
          <t>f3 · 100% · under</t>
        </is>
      </c>
      <c r="P31" s="6" t="inlineStr"/>
      <c r="Q31" s="6" t="inlineStr"/>
      <c r="R31" s="13" t="inlineStr">
        <is>
          <t>f3 · 100% · over</t>
        </is>
      </c>
      <c r="S31" s="6" t="inlineStr"/>
      <c r="T31" s="6" t="n">
        <v>0</v>
      </c>
      <c r="U31" s="6" t="n">
        <v>0</v>
      </c>
      <c r="V31" s="6" t="inlineStr"/>
    </row>
    <row r="32">
      <c r="A32" s="10" t="n">
        <v>30</v>
      </c>
      <c r="B32" s="11">
        <f>A32*1000/60</f>
        <v/>
      </c>
      <c r="C32" s="10" t="inlineStr">
        <is>
          <t>C ตีพื้น = วางวงเฮ็กซ์</t>
        </is>
      </c>
      <c r="D32" s="10" t="inlineStr">
        <is>
          <t>C10</t>
        </is>
      </c>
      <c r="E32" s="10" t="inlineStr">
        <is>
          <t>S2 clip 9</t>
        </is>
      </c>
      <c r="F32" s="10" t="n">
        <v>1</v>
      </c>
      <c r="G32" s="6" t="n">
        <v>0</v>
      </c>
      <c r="H32" s="6" t="n">
        <v>0</v>
      </c>
      <c r="I32" s="7">
        <f>G32/80</f>
        <v/>
      </c>
      <c r="J32" s="6" t="n">
        <v>390</v>
      </c>
      <c r="K32" s="6" t="n">
        <v>200</v>
      </c>
      <c r="L32" s="6" t="n">
        <v>110</v>
      </c>
      <c r="M32" s="6" t="n">
        <v>160</v>
      </c>
      <c r="N32" s="6" t="inlineStr"/>
      <c r="O32" s="12" t="inlineStr">
        <is>
          <t>f4 · 100% · under</t>
        </is>
      </c>
      <c r="P32" s="6" t="inlineStr"/>
      <c r="Q32" s="6" t="inlineStr"/>
      <c r="R32" s="13" t="inlineStr">
        <is>
          <t>f3 · 100% · over</t>
        </is>
      </c>
      <c r="S32" s="6" t="inlineStr"/>
      <c r="T32" s="6" t="n">
        <v>0</v>
      </c>
      <c r="U32" s="6" t="n">
        <v>0</v>
      </c>
      <c r="V32" s="6" t="inlineStr"/>
    </row>
    <row r="33">
      <c r="A33" s="10" t="n">
        <v>31</v>
      </c>
      <c r="B33" s="11">
        <f>A33*1000/60</f>
        <v/>
      </c>
      <c r="C33" s="10" t="inlineStr">
        <is>
          <t>C ตีพื้น = วางวงเฮ็กซ์</t>
        </is>
      </c>
      <c r="D33" s="10" t="inlineStr">
        <is>
          <t>C10</t>
        </is>
      </c>
      <c r="E33" s="10" t="inlineStr">
        <is>
          <t>S2 clip 9</t>
        </is>
      </c>
      <c r="F33" s="10" t="n">
        <v>2</v>
      </c>
      <c r="G33" s="6" t="n">
        <v>0</v>
      </c>
      <c r="H33" s="6" t="n">
        <v>0</v>
      </c>
      <c r="I33" s="7">
        <f>G33/80</f>
        <v/>
      </c>
      <c r="J33" s="6" t="n">
        <v>390</v>
      </c>
      <c r="K33" s="6" t="n">
        <v>200</v>
      </c>
      <c r="L33" s="6" t="n">
        <v>110</v>
      </c>
      <c r="M33" s="6" t="n">
        <v>160</v>
      </c>
      <c r="N33" s="6" t="inlineStr"/>
      <c r="O33" s="12" t="inlineStr">
        <is>
          <t>f5 · 100% · under</t>
        </is>
      </c>
      <c r="P33" s="6" t="inlineStr"/>
      <c r="Q33" s="6" t="inlineStr"/>
      <c r="R33" s="13" t="inlineStr">
        <is>
          <t>f4 · 100% · over</t>
        </is>
      </c>
      <c r="S33" s="6" t="inlineStr"/>
      <c r="T33" s="6" t="n">
        <v>0</v>
      </c>
      <c r="U33" s="6" t="n">
        <v>0</v>
      </c>
      <c r="V33" s="6" t="inlineStr"/>
    </row>
    <row r="34">
      <c r="A34" s="10" t="n">
        <v>32</v>
      </c>
      <c r="B34" s="11">
        <f>A34*1000/60</f>
        <v/>
      </c>
      <c r="C34" s="10" t="inlineStr">
        <is>
          <t>C ตีพื้น = วางวงเฮ็กซ์</t>
        </is>
      </c>
      <c r="D34" s="10" t="inlineStr">
        <is>
          <t>C10</t>
        </is>
      </c>
      <c r="E34" s="10" t="inlineStr">
        <is>
          <t>S2 clip 9</t>
        </is>
      </c>
      <c r="F34" s="10" t="n">
        <v>3</v>
      </c>
      <c r="G34" s="6" t="n">
        <v>0</v>
      </c>
      <c r="H34" s="6" t="n">
        <v>0</v>
      </c>
      <c r="I34" s="7">
        <f>G34/80</f>
        <v/>
      </c>
      <c r="J34" s="6" t="n">
        <v>390</v>
      </c>
      <c r="K34" s="6" t="n">
        <v>200</v>
      </c>
      <c r="L34" s="6" t="n">
        <v>110</v>
      </c>
      <c r="M34" s="6" t="n">
        <v>160</v>
      </c>
      <c r="N34" s="6" t="inlineStr"/>
      <c r="O34" s="12" t="inlineStr">
        <is>
          <t>f5 · 100% · under</t>
        </is>
      </c>
      <c r="P34" s="6" t="inlineStr"/>
      <c r="Q34" s="6" t="inlineStr"/>
      <c r="R34" s="13" t="inlineStr">
        <is>
          <t>f4 · 100% · over</t>
        </is>
      </c>
      <c r="S34" s="6" t="inlineStr"/>
      <c r="T34" s="6" t="n">
        <v>0</v>
      </c>
      <c r="U34" s="6" t="n">
        <v>0</v>
      </c>
      <c r="V34" s="6" t="inlineStr"/>
    </row>
    <row r="35">
      <c r="A35" s="10" t="n">
        <v>33</v>
      </c>
      <c r="B35" s="11">
        <f>A35*1000/60</f>
        <v/>
      </c>
      <c r="C35" s="10" t="inlineStr">
        <is>
          <t>C ตีพื้น = วางวงเฮ็กซ์</t>
        </is>
      </c>
      <c r="D35" s="10" t="inlineStr">
        <is>
          <t>C11</t>
        </is>
      </c>
      <c r="E35" s="10" t="inlineStr">
        <is>
          <t>S2 clip 10</t>
        </is>
      </c>
      <c r="F35" s="10" t="n">
        <v>1</v>
      </c>
      <c r="G35" s="6" t="n">
        <v>0</v>
      </c>
      <c r="H35" s="6" t="n">
        <v>0</v>
      </c>
      <c r="I35" s="7">
        <f>G35/80</f>
        <v/>
      </c>
      <c r="J35" s="6" t="n">
        <v>390</v>
      </c>
      <c r="K35" s="6" t="n">
        <v>200</v>
      </c>
      <c r="L35" s="6" t="n">
        <v>110</v>
      </c>
      <c r="M35" s="6" t="n">
        <v>160</v>
      </c>
      <c r="N35" s="6" t="inlineStr"/>
      <c r="O35" s="12" t="inlineStr">
        <is>
          <t>f6 · 100% · under</t>
        </is>
      </c>
      <c r="P35" s="6" t="inlineStr"/>
      <c r="Q35" s="6" t="inlineStr"/>
      <c r="R35" s="13" t="inlineStr">
        <is>
          <t>f5 · 100% · over</t>
        </is>
      </c>
      <c r="S35" s="6" t="inlineStr"/>
      <c r="T35" s="6" t="n">
        <v>0</v>
      </c>
      <c r="U35" s="6" t="n">
        <v>0</v>
      </c>
      <c r="V35" s="6" t="inlineStr"/>
    </row>
    <row r="36">
      <c r="A36" s="10" t="n">
        <v>34</v>
      </c>
      <c r="B36" s="11">
        <f>A36*1000/60</f>
        <v/>
      </c>
      <c r="C36" s="10" t="inlineStr">
        <is>
          <t>C ตีพื้น = วางวงเฮ็กซ์</t>
        </is>
      </c>
      <c r="D36" s="10" t="inlineStr">
        <is>
          <t>C11</t>
        </is>
      </c>
      <c r="E36" s="10" t="inlineStr">
        <is>
          <t>S2 clip 10</t>
        </is>
      </c>
      <c r="F36" s="10" t="n">
        <v>2</v>
      </c>
      <c r="G36" s="6" t="n">
        <v>0</v>
      </c>
      <c r="H36" s="6" t="n">
        <v>0</v>
      </c>
      <c r="I36" s="7">
        <f>G36/80</f>
        <v/>
      </c>
      <c r="J36" s="6" t="n">
        <v>390</v>
      </c>
      <c r="K36" s="6" t="n">
        <v>200</v>
      </c>
      <c r="L36" s="6" t="n">
        <v>110</v>
      </c>
      <c r="M36" s="6" t="n">
        <v>160</v>
      </c>
      <c r="N36" s="6" t="inlineStr"/>
      <c r="O36" s="12" t="inlineStr">
        <is>
          <t>f6 · 100% · under</t>
        </is>
      </c>
      <c r="P36" s="6" t="inlineStr"/>
      <c r="Q36" s="6" t="inlineStr"/>
      <c r="R36" s="13" t="inlineStr">
        <is>
          <t>f5 · 100% · over</t>
        </is>
      </c>
      <c r="S36" s="6" t="inlineStr"/>
      <c r="T36" s="6" t="n">
        <v>0</v>
      </c>
      <c r="U36" s="6" t="n">
        <v>0</v>
      </c>
      <c r="V36" s="6" t="inlineStr"/>
    </row>
    <row r="37">
      <c r="A37" s="10" t="n">
        <v>35</v>
      </c>
      <c r="B37" s="11">
        <f>A37*1000/60</f>
        <v/>
      </c>
      <c r="C37" s="10" t="inlineStr">
        <is>
          <t>C ตีพื้น = วางวงเฮ็กซ์</t>
        </is>
      </c>
      <c r="D37" s="10" t="inlineStr">
        <is>
          <t>C11</t>
        </is>
      </c>
      <c r="E37" s="10" t="inlineStr">
        <is>
          <t>S2 clip 10</t>
        </is>
      </c>
      <c r="F37" s="10" t="n">
        <v>3</v>
      </c>
      <c r="G37" s="6" t="n">
        <v>0</v>
      </c>
      <c r="H37" s="6" t="n">
        <v>0</v>
      </c>
      <c r="I37" s="7">
        <f>G37/80</f>
        <v/>
      </c>
      <c r="J37" s="6" t="n">
        <v>390</v>
      </c>
      <c r="K37" s="6" t="n">
        <v>200</v>
      </c>
      <c r="L37" s="6" t="n">
        <v>110</v>
      </c>
      <c r="M37" s="6" t="n">
        <v>160</v>
      </c>
      <c r="N37" s="6" t="inlineStr"/>
      <c r="O37" s="12" t="inlineStr">
        <is>
          <t>f7 · 100% · under</t>
        </is>
      </c>
      <c r="P37" s="6" t="inlineStr"/>
      <c r="Q37" s="6" t="inlineStr"/>
      <c r="R37" s="13" t="inlineStr">
        <is>
          <t>f6 · 100% · over</t>
        </is>
      </c>
      <c r="S37" s="6" t="inlineStr"/>
      <c r="T37" s="6" t="n">
        <v>0</v>
      </c>
      <c r="U37" s="6" t="n">
        <v>0</v>
      </c>
      <c r="V37" s="6" t="inlineStr"/>
    </row>
    <row r="38">
      <c r="A38" s="10" t="n">
        <v>36</v>
      </c>
      <c r="B38" s="11">
        <f>A38*1000/60</f>
        <v/>
      </c>
      <c r="C38" s="10" t="inlineStr">
        <is>
          <t>C ตีพื้น = วางวงเฮ็กซ์</t>
        </is>
      </c>
      <c r="D38" s="10" t="inlineStr">
        <is>
          <t>C12</t>
        </is>
      </c>
      <c r="E38" s="10" t="inlineStr">
        <is>
          <t>S2 clip 11</t>
        </is>
      </c>
      <c r="F38" s="10" t="n">
        <v>1</v>
      </c>
      <c r="G38" s="6" t="n">
        <v>0</v>
      </c>
      <c r="H38" s="6" t="n">
        <v>0</v>
      </c>
      <c r="I38" s="7">
        <f>G38/80</f>
        <v/>
      </c>
      <c r="J38" s="6" t="n">
        <v>390</v>
      </c>
      <c r="K38" s="6" t="n">
        <v>200</v>
      </c>
      <c r="L38" s="6" t="n">
        <v>110</v>
      </c>
      <c r="M38" s="6" t="n">
        <v>160</v>
      </c>
      <c r="N38" s="6" t="inlineStr"/>
      <c r="O38" s="12" t="inlineStr">
        <is>
          <t>f8 · 100% · under</t>
        </is>
      </c>
      <c r="P38" s="6" t="inlineStr"/>
      <c r="Q38" s="6" t="inlineStr"/>
      <c r="R38" s="13" t="inlineStr">
        <is>
          <t>f6 · 100% · over</t>
        </is>
      </c>
      <c r="S38" s="6" t="inlineStr"/>
      <c r="T38" s="6" t="n">
        <v>0</v>
      </c>
      <c r="U38" s="6" t="n">
        <v>0</v>
      </c>
      <c r="V38" s="6" t="inlineStr"/>
    </row>
    <row r="39">
      <c r="A39" s="10" t="n">
        <v>37</v>
      </c>
      <c r="B39" s="11">
        <f>A39*1000/60</f>
        <v/>
      </c>
      <c r="C39" s="10" t="inlineStr">
        <is>
          <t>C ตีพื้น = วางวงเฮ็กซ์</t>
        </is>
      </c>
      <c r="D39" s="10" t="inlineStr">
        <is>
          <t>C12</t>
        </is>
      </c>
      <c r="E39" s="10" t="inlineStr">
        <is>
          <t>S2 clip 11</t>
        </is>
      </c>
      <c r="F39" s="10" t="n">
        <v>2</v>
      </c>
      <c r="G39" s="6" t="n">
        <v>0</v>
      </c>
      <c r="H39" s="6" t="n">
        <v>0</v>
      </c>
      <c r="I39" s="7">
        <f>G39/80</f>
        <v/>
      </c>
      <c r="J39" s="6" t="n">
        <v>390</v>
      </c>
      <c r="K39" s="6" t="n">
        <v>200</v>
      </c>
      <c r="L39" s="6" t="n">
        <v>110</v>
      </c>
      <c r="M39" s="6" t="n">
        <v>160</v>
      </c>
      <c r="N39" s="6" t="inlineStr"/>
      <c r="O39" s="12" t="inlineStr">
        <is>
          <t>f8 · 100% · under</t>
        </is>
      </c>
      <c r="P39" s="6" t="inlineStr"/>
      <c r="Q39" s="6" t="inlineStr"/>
      <c r="R39" s="13" t="inlineStr">
        <is>
          <t>f7 · 100% · over</t>
        </is>
      </c>
      <c r="S39" s="6" t="inlineStr"/>
      <c r="T39" s="6" t="n">
        <v>0</v>
      </c>
      <c r="U39" s="6" t="n">
        <v>0</v>
      </c>
      <c r="V39" s="6" t="inlineStr"/>
    </row>
    <row r="40">
      <c r="A40" s="10" t="n">
        <v>38</v>
      </c>
      <c r="B40" s="11">
        <f>A40*1000/60</f>
        <v/>
      </c>
      <c r="C40" s="10" t="inlineStr">
        <is>
          <t>C ตีพื้น = วางวงเฮ็กซ์</t>
        </is>
      </c>
      <c r="D40" s="10" t="inlineStr">
        <is>
          <t>C12</t>
        </is>
      </c>
      <c r="E40" s="10" t="inlineStr">
        <is>
          <t>S2 clip 11</t>
        </is>
      </c>
      <c r="F40" s="10" t="n">
        <v>3</v>
      </c>
      <c r="G40" s="6" t="n">
        <v>0</v>
      </c>
      <c r="H40" s="6" t="n">
        <v>0</v>
      </c>
      <c r="I40" s="7">
        <f>G40/80</f>
        <v/>
      </c>
      <c r="J40" s="6" t="n">
        <v>390</v>
      </c>
      <c r="K40" s="6" t="n">
        <v>200</v>
      </c>
      <c r="L40" s="6" t="n">
        <v>110</v>
      </c>
      <c r="M40" s="6" t="n">
        <v>160</v>
      </c>
      <c r="N40" s="6" t="inlineStr"/>
      <c r="O40" s="12" t="inlineStr">
        <is>
          <t>f9 · 100% · under</t>
        </is>
      </c>
      <c r="P40" s="6" t="inlineStr"/>
      <c r="Q40" s="6" t="inlineStr"/>
      <c r="R40" s="13" t="inlineStr">
        <is>
          <t>f7 · 100% · over</t>
        </is>
      </c>
      <c r="S40" s="6" t="inlineStr"/>
      <c r="T40" s="6" t="n">
        <v>0</v>
      </c>
      <c r="U40" s="6" t="n">
        <v>0</v>
      </c>
      <c r="V40" s="6" t="inlineStr"/>
    </row>
    <row r="41">
      <c r="A41" s="14" t="n">
        <v>39</v>
      </c>
      <c r="B41" s="15">
        <f>A41*1000/60</f>
        <v/>
      </c>
      <c r="C41" s="14" t="inlineStr">
        <is>
          <t>D ควงไม้ = ชาร์จวง (ไม่มีดาเมจ)</t>
        </is>
      </c>
      <c r="D41" s="14" t="inlineStr">
        <is>
          <t>C13</t>
        </is>
      </c>
      <c r="E41" s="14" t="inlineStr">
        <is>
          <t>S2 clip 12</t>
        </is>
      </c>
      <c r="F41" s="14" t="n">
        <v>1</v>
      </c>
      <c r="G41" s="6" t="n">
        <v>0</v>
      </c>
      <c r="H41" s="6" t="n">
        <v>0</v>
      </c>
      <c r="I41" s="7">
        <f>G41/80</f>
        <v/>
      </c>
      <c r="J41" s="6" t="n">
        <v>390</v>
      </c>
      <c r="K41" s="6" t="n">
        <v>200</v>
      </c>
      <c r="L41" s="6" t="n">
        <v>110</v>
      </c>
      <c r="M41" s="6" t="n">
        <v>160</v>
      </c>
      <c r="N41" s="6" t="inlineStr">
        <is>
          <t>CHARGE_START · HEX LOOP</t>
        </is>
      </c>
      <c r="O41" s="12" t="inlineStr">
        <is>
          <t>f9 · 100% · under</t>
        </is>
      </c>
      <c r="P41" s="16" t="inlineStr">
        <is>
          <t>f1 · 100% · under</t>
        </is>
      </c>
      <c r="Q41" s="6" t="inlineStr"/>
      <c r="R41" s="13" t="inlineStr">
        <is>
          <t>f7 · 100% · over</t>
        </is>
      </c>
      <c r="S41" s="6" t="inlineStr"/>
      <c r="T41" s="6" t="n">
        <v>0</v>
      </c>
      <c r="U41" s="6" t="n">
        <v>0</v>
      </c>
      <c r="V41" s="6" t="inlineStr">
        <is>
          <t>C13 ควงไม้ · วงชาร์จ</t>
        </is>
      </c>
    </row>
    <row r="42">
      <c r="A42" s="14" t="n">
        <v>40</v>
      </c>
      <c r="B42" s="15">
        <f>A42*1000/60</f>
        <v/>
      </c>
      <c r="C42" s="14" t="inlineStr">
        <is>
          <t>D ควงไม้ = ชาร์จวง (ไม่มีดาเมจ)</t>
        </is>
      </c>
      <c r="D42" s="14" t="inlineStr">
        <is>
          <t>C13</t>
        </is>
      </c>
      <c r="E42" s="14" t="inlineStr">
        <is>
          <t>S2 clip 12</t>
        </is>
      </c>
      <c r="F42" s="14" t="n">
        <v>2</v>
      </c>
      <c r="G42" s="6" t="n">
        <v>0</v>
      </c>
      <c r="H42" s="6" t="n">
        <v>0</v>
      </c>
      <c r="I42" s="7">
        <f>G42/80</f>
        <v/>
      </c>
      <c r="J42" s="6" t="n">
        <v>390</v>
      </c>
      <c r="K42" s="6" t="n">
        <v>200</v>
      </c>
      <c r="L42" s="6" t="n">
        <v>110</v>
      </c>
      <c r="M42" s="6" t="n">
        <v>160</v>
      </c>
      <c r="N42" s="6" t="inlineStr"/>
      <c r="O42" s="6" t="inlineStr"/>
      <c r="P42" s="16" t="inlineStr">
        <is>
          <t>f1 · 100% · under</t>
        </is>
      </c>
      <c r="Q42" s="6" t="inlineStr"/>
      <c r="R42" s="13" t="inlineStr">
        <is>
          <t>f7 · 93% · over</t>
        </is>
      </c>
      <c r="S42" s="6" t="inlineStr"/>
      <c r="T42" s="6" t="n">
        <v>0</v>
      </c>
      <c r="U42" s="6" t="n">
        <v>0</v>
      </c>
      <c r="V42" s="6" t="inlineStr"/>
    </row>
    <row r="43">
      <c r="A43" s="14" t="n">
        <v>41</v>
      </c>
      <c r="B43" s="15">
        <f>A43*1000/60</f>
        <v/>
      </c>
      <c r="C43" s="14" t="inlineStr">
        <is>
          <t>D ควงไม้ = ชาร์จวง (ไม่มีดาเมจ)</t>
        </is>
      </c>
      <c r="D43" s="14" t="inlineStr">
        <is>
          <t>C13</t>
        </is>
      </c>
      <c r="E43" s="14" t="inlineStr">
        <is>
          <t>S2 clip 12</t>
        </is>
      </c>
      <c r="F43" s="14" t="n">
        <v>3</v>
      </c>
      <c r="G43" s="6" t="n">
        <v>0</v>
      </c>
      <c r="H43" s="6" t="n">
        <v>0</v>
      </c>
      <c r="I43" s="7">
        <f>G43/80</f>
        <v/>
      </c>
      <c r="J43" s="6" t="n">
        <v>390</v>
      </c>
      <c r="K43" s="6" t="n">
        <v>200</v>
      </c>
      <c r="L43" s="6" t="n">
        <v>110</v>
      </c>
      <c r="M43" s="6" t="n">
        <v>160</v>
      </c>
      <c r="N43" s="6" t="inlineStr"/>
      <c r="O43" s="6" t="inlineStr"/>
      <c r="P43" s="16" t="inlineStr">
        <is>
          <t>f1 · 100% · under</t>
        </is>
      </c>
      <c r="Q43" s="6" t="inlineStr"/>
      <c r="R43" s="13" t="inlineStr">
        <is>
          <t>f7 · 77% · over</t>
        </is>
      </c>
      <c r="S43" s="6" t="inlineStr"/>
      <c r="T43" s="6" t="n">
        <v>0</v>
      </c>
      <c r="U43" s="6" t="n">
        <v>0</v>
      </c>
      <c r="V43" s="6" t="inlineStr"/>
    </row>
    <row r="44">
      <c r="A44" s="14" t="n">
        <v>42</v>
      </c>
      <c r="B44" s="15">
        <f>A44*1000/60</f>
        <v/>
      </c>
      <c r="C44" s="14" t="inlineStr">
        <is>
          <t>D ควงไม้ = ชาร์จวง (ไม่มีดาเมจ)</t>
        </is>
      </c>
      <c r="D44" s="14" t="inlineStr">
        <is>
          <t>C13</t>
        </is>
      </c>
      <c r="E44" s="14" t="inlineStr">
        <is>
          <t>S2 clip 12</t>
        </is>
      </c>
      <c r="F44" s="14" t="n">
        <v>4</v>
      </c>
      <c r="G44" s="6" t="n">
        <v>0</v>
      </c>
      <c r="H44" s="6" t="n">
        <v>0</v>
      </c>
      <c r="I44" s="7">
        <f>G44/80</f>
        <v/>
      </c>
      <c r="J44" s="6" t="n">
        <v>390</v>
      </c>
      <c r="K44" s="6" t="n">
        <v>200</v>
      </c>
      <c r="L44" s="6" t="n">
        <v>110</v>
      </c>
      <c r="M44" s="6" t="n">
        <v>160</v>
      </c>
      <c r="N44" s="6" t="inlineStr"/>
      <c r="O44" s="6" t="inlineStr"/>
      <c r="P44" s="16" t="inlineStr">
        <is>
          <t>f1 · 100% · under</t>
        </is>
      </c>
      <c r="Q44" s="6" t="inlineStr"/>
      <c r="R44" s="13" t="inlineStr">
        <is>
          <t>f7 · 53% · over</t>
        </is>
      </c>
      <c r="S44" s="6" t="inlineStr"/>
      <c r="T44" s="6" t="n">
        <v>0</v>
      </c>
      <c r="U44" s="6" t="n">
        <v>0</v>
      </c>
      <c r="V44" s="6" t="inlineStr"/>
    </row>
    <row r="45">
      <c r="A45" s="14" t="n">
        <v>43</v>
      </c>
      <c r="B45" s="15">
        <f>A45*1000/60</f>
        <v/>
      </c>
      <c r="C45" s="14" t="inlineStr">
        <is>
          <t>D ควงไม้ = ชาร์จวง (ไม่มีดาเมจ)</t>
        </is>
      </c>
      <c r="D45" s="14" t="inlineStr">
        <is>
          <t>C13</t>
        </is>
      </c>
      <c r="E45" s="14" t="inlineStr">
        <is>
          <t>S2 clip 12</t>
        </is>
      </c>
      <c r="F45" s="14" t="n">
        <v>5</v>
      </c>
      <c r="G45" s="6" t="n">
        <v>0</v>
      </c>
      <c r="H45" s="6" t="n">
        <v>0</v>
      </c>
      <c r="I45" s="7">
        <f>G45/80</f>
        <v/>
      </c>
      <c r="J45" s="6" t="n">
        <v>390</v>
      </c>
      <c r="K45" s="6" t="n">
        <v>200</v>
      </c>
      <c r="L45" s="6" t="n">
        <v>110</v>
      </c>
      <c r="M45" s="6" t="n">
        <v>160</v>
      </c>
      <c r="N45" s="6" t="inlineStr"/>
      <c r="O45" s="6" t="inlineStr"/>
      <c r="P45" s="16" t="inlineStr">
        <is>
          <t>f1 · 100% · under</t>
        </is>
      </c>
      <c r="Q45" s="6" t="inlineStr"/>
      <c r="R45" s="13" t="inlineStr">
        <is>
          <t>f7 · 20% · over</t>
        </is>
      </c>
      <c r="S45" s="6" t="inlineStr"/>
      <c r="T45" s="6" t="n">
        <v>0</v>
      </c>
      <c r="U45" s="6" t="n">
        <v>0</v>
      </c>
      <c r="V45" s="6" t="inlineStr"/>
    </row>
    <row r="46">
      <c r="A46" s="14" t="n">
        <v>44</v>
      </c>
      <c r="B46" s="15">
        <f>A46*1000/60</f>
        <v/>
      </c>
      <c r="C46" s="14" t="inlineStr">
        <is>
          <t>D ควงไม้ = ชาร์จวง (ไม่มีดาเมจ)</t>
        </is>
      </c>
      <c r="D46" s="14" t="inlineStr">
        <is>
          <t>C14</t>
        </is>
      </c>
      <c r="E46" s="14" t="inlineStr">
        <is>
          <t>S2 clip 13</t>
        </is>
      </c>
      <c r="F46" s="14" t="n">
        <v>1</v>
      </c>
      <c r="G46" s="6" t="n">
        <v>0</v>
      </c>
      <c r="H46" s="6" t="n">
        <v>0</v>
      </c>
      <c r="I46" s="7">
        <f>G46/80</f>
        <v/>
      </c>
      <c r="J46" s="6" t="n">
        <v>390</v>
      </c>
      <c r="K46" s="6" t="n">
        <v>200</v>
      </c>
      <c r="L46" s="6" t="n">
        <v>110</v>
      </c>
      <c r="M46" s="6" t="n">
        <v>160</v>
      </c>
      <c r="N46" s="6" t="inlineStr"/>
      <c r="O46" s="6" t="inlineStr"/>
      <c r="P46" s="16" t="inlineStr">
        <is>
          <t>f2 · 100% · under</t>
        </is>
      </c>
      <c r="Q46" s="6" t="inlineStr"/>
      <c r="R46" s="6" t="inlineStr"/>
      <c r="S46" s="6" t="inlineStr"/>
      <c r="T46" s="6" t="n">
        <v>0</v>
      </c>
      <c r="U46" s="6" t="n">
        <v>0</v>
      </c>
      <c r="V46" s="6" t="inlineStr"/>
    </row>
    <row r="47">
      <c r="A47" s="14" t="n">
        <v>45</v>
      </c>
      <c r="B47" s="15">
        <f>A47*1000/60</f>
        <v/>
      </c>
      <c r="C47" s="14" t="inlineStr">
        <is>
          <t>D ควงไม้ = ชาร์จวง (ไม่มีดาเมจ)</t>
        </is>
      </c>
      <c r="D47" s="14" t="inlineStr">
        <is>
          <t>C14</t>
        </is>
      </c>
      <c r="E47" s="14" t="inlineStr">
        <is>
          <t>S2 clip 13</t>
        </is>
      </c>
      <c r="F47" s="14" t="n">
        <v>2</v>
      </c>
      <c r="G47" s="6" t="n">
        <v>0</v>
      </c>
      <c r="H47" s="6" t="n">
        <v>0</v>
      </c>
      <c r="I47" s="7">
        <f>G47/80</f>
        <v/>
      </c>
      <c r="J47" s="6" t="n">
        <v>390</v>
      </c>
      <c r="K47" s="6" t="n">
        <v>200</v>
      </c>
      <c r="L47" s="6" t="n">
        <v>110</v>
      </c>
      <c r="M47" s="6" t="n">
        <v>160</v>
      </c>
      <c r="N47" s="6" t="inlineStr"/>
      <c r="O47" s="6" t="inlineStr"/>
      <c r="P47" s="16" t="inlineStr">
        <is>
          <t>f2 · 100% · under</t>
        </is>
      </c>
      <c r="Q47" s="6" t="inlineStr"/>
      <c r="R47" s="6" t="inlineStr"/>
      <c r="S47" s="6" t="inlineStr"/>
      <c r="T47" s="6" t="n">
        <v>0</v>
      </c>
      <c r="U47" s="6" t="n">
        <v>0</v>
      </c>
      <c r="V47" s="6" t="inlineStr"/>
    </row>
    <row r="48">
      <c r="A48" s="14" t="n">
        <v>46</v>
      </c>
      <c r="B48" s="15">
        <f>A48*1000/60</f>
        <v/>
      </c>
      <c r="C48" s="14" t="inlineStr">
        <is>
          <t>D ควงไม้ = ชาร์จวง (ไม่มีดาเมจ)</t>
        </is>
      </c>
      <c r="D48" s="14" t="inlineStr">
        <is>
          <t>C14</t>
        </is>
      </c>
      <c r="E48" s="14" t="inlineStr">
        <is>
          <t>S2 clip 13</t>
        </is>
      </c>
      <c r="F48" s="14" t="n">
        <v>3</v>
      </c>
      <c r="G48" s="6" t="n">
        <v>0</v>
      </c>
      <c r="H48" s="6" t="n">
        <v>0</v>
      </c>
      <c r="I48" s="7">
        <f>G48/80</f>
        <v/>
      </c>
      <c r="J48" s="6" t="n">
        <v>390</v>
      </c>
      <c r="K48" s="6" t="n">
        <v>200</v>
      </c>
      <c r="L48" s="6" t="n">
        <v>110</v>
      </c>
      <c r="M48" s="6" t="n">
        <v>160</v>
      </c>
      <c r="N48" s="6" t="inlineStr"/>
      <c r="O48" s="6" t="inlineStr"/>
      <c r="P48" s="16" t="inlineStr">
        <is>
          <t>f2 · 100% · under</t>
        </is>
      </c>
      <c r="Q48" s="6" t="inlineStr"/>
      <c r="R48" s="6" t="inlineStr"/>
      <c r="S48" s="6" t="inlineStr"/>
      <c r="T48" s="6" t="n">
        <v>0</v>
      </c>
      <c r="U48" s="6" t="n">
        <v>0</v>
      </c>
      <c r="V48" s="6" t="inlineStr"/>
    </row>
    <row r="49">
      <c r="A49" s="14" t="n">
        <v>47</v>
      </c>
      <c r="B49" s="15">
        <f>A49*1000/60</f>
        <v/>
      </c>
      <c r="C49" s="14" t="inlineStr">
        <is>
          <t>D ควงไม้ = ชาร์จวง (ไม่มีดาเมจ)</t>
        </is>
      </c>
      <c r="D49" s="14" t="inlineStr">
        <is>
          <t>C14</t>
        </is>
      </c>
      <c r="E49" s="14" t="inlineStr">
        <is>
          <t>S2 clip 13</t>
        </is>
      </c>
      <c r="F49" s="14" t="n">
        <v>4</v>
      </c>
      <c r="G49" s="6" t="n">
        <v>0</v>
      </c>
      <c r="H49" s="6" t="n">
        <v>0</v>
      </c>
      <c r="I49" s="7">
        <f>G49/80</f>
        <v/>
      </c>
      <c r="J49" s="6" t="n">
        <v>390</v>
      </c>
      <c r="K49" s="6" t="n">
        <v>200</v>
      </c>
      <c r="L49" s="6" t="n">
        <v>110</v>
      </c>
      <c r="M49" s="6" t="n">
        <v>160</v>
      </c>
      <c r="N49" s="6" t="inlineStr"/>
      <c r="O49" s="6" t="inlineStr"/>
      <c r="P49" s="16" t="inlineStr">
        <is>
          <t>f2 · 100% · under</t>
        </is>
      </c>
      <c r="Q49" s="6" t="inlineStr"/>
      <c r="R49" s="6" t="inlineStr"/>
      <c r="S49" s="6" t="inlineStr"/>
      <c r="T49" s="6" t="n">
        <v>0</v>
      </c>
      <c r="U49" s="6" t="n">
        <v>0</v>
      </c>
      <c r="V49" s="6" t="inlineStr"/>
    </row>
    <row r="50">
      <c r="A50" s="14" t="n">
        <v>48</v>
      </c>
      <c r="B50" s="15">
        <f>A50*1000/60</f>
        <v/>
      </c>
      <c r="C50" s="14" t="inlineStr">
        <is>
          <t>D ควงไม้ = ชาร์จวง (ไม่มีดาเมจ)</t>
        </is>
      </c>
      <c r="D50" s="14" t="inlineStr">
        <is>
          <t>C15</t>
        </is>
      </c>
      <c r="E50" s="14" t="inlineStr">
        <is>
          <t>S2 clip 14</t>
        </is>
      </c>
      <c r="F50" s="14" t="n">
        <v>1</v>
      </c>
      <c r="G50" s="6" t="n">
        <v>0</v>
      </c>
      <c r="H50" s="6" t="n">
        <v>0</v>
      </c>
      <c r="I50" s="7">
        <f>G50/80</f>
        <v/>
      </c>
      <c r="J50" s="6" t="n">
        <v>390</v>
      </c>
      <c r="K50" s="6" t="n">
        <v>200</v>
      </c>
      <c r="L50" s="6" t="n">
        <v>110</v>
      </c>
      <c r="M50" s="6" t="n">
        <v>160</v>
      </c>
      <c r="N50" s="6" t="inlineStr"/>
      <c r="O50" s="6" t="inlineStr"/>
      <c r="P50" s="16" t="inlineStr">
        <is>
          <t>f2 · 100% · under</t>
        </is>
      </c>
      <c r="Q50" s="6" t="inlineStr"/>
      <c r="R50" s="6" t="inlineStr"/>
      <c r="S50" s="6" t="inlineStr"/>
      <c r="T50" s="6" t="n">
        <v>0</v>
      </c>
      <c r="U50" s="6" t="n">
        <v>0</v>
      </c>
      <c r="V50" s="6" t="inlineStr"/>
    </row>
    <row r="51">
      <c r="A51" s="14" t="n">
        <v>49</v>
      </c>
      <c r="B51" s="15">
        <f>A51*1000/60</f>
        <v/>
      </c>
      <c r="C51" s="14" t="inlineStr">
        <is>
          <t>D ควงไม้ = ชาร์จวง (ไม่มีดาเมจ)</t>
        </is>
      </c>
      <c r="D51" s="14" t="inlineStr">
        <is>
          <t>C15</t>
        </is>
      </c>
      <c r="E51" s="14" t="inlineStr">
        <is>
          <t>S2 clip 14</t>
        </is>
      </c>
      <c r="F51" s="14" t="n">
        <v>2</v>
      </c>
      <c r="G51" s="6" t="n">
        <v>0</v>
      </c>
      <c r="H51" s="6" t="n">
        <v>0</v>
      </c>
      <c r="I51" s="7">
        <f>G51/80</f>
        <v/>
      </c>
      <c r="J51" s="6" t="n">
        <v>390</v>
      </c>
      <c r="K51" s="6" t="n">
        <v>200</v>
      </c>
      <c r="L51" s="6" t="n">
        <v>110</v>
      </c>
      <c r="M51" s="6" t="n">
        <v>160</v>
      </c>
      <c r="N51" s="6" t="inlineStr"/>
      <c r="O51" s="6" t="inlineStr"/>
      <c r="P51" s="16" t="inlineStr">
        <is>
          <t>f3 · 100% · under</t>
        </is>
      </c>
      <c r="Q51" s="6" t="inlineStr"/>
      <c r="R51" s="6" t="inlineStr"/>
      <c r="S51" s="6" t="inlineStr"/>
      <c r="T51" s="6" t="n">
        <v>0</v>
      </c>
      <c r="U51" s="6" t="n">
        <v>0</v>
      </c>
      <c r="V51" s="6" t="inlineStr"/>
    </row>
    <row r="52">
      <c r="A52" s="14" t="n">
        <v>50</v>
      </c>
      <c r="B52" s="15">
        <f>A52*1000/60</f>
        <v/>
      </c>
      <c r="C52" s="14" t="inlineStr">
        <is>
          <t>D ควงไม้ = ชาร์จวง (ไม่มีดาเมจ)</t>
        </is>
      </c>
      <c r="D52" s="14" t="inlineStr">
        <is>
          <t>C15</t>
        </is>
      </c>
      <c r="E52" s="14" t="inlineStr">
        <is>
          <t>S2 clip 14</t>
        </is>
      </c>
      <c r="F52" s="14" t="n">
        <v>3</v>
      </c>
      <c r="G52" s="6" t="n">
        <v>0</v>
      </c>
      <c r="H52" s="6" t="n">
        <v>0</v>
      </c>
      <c r="I52" s="7">
        <f>G52/80</f>
        <v/>
      </c>
      <c r="J52" s="6" t="n">
        <v>390</v>
      </c>
      <c r="K52" s="6" t="n">
        <v>200</v>
      </c>
      <c r="L52" s="6" t="n">
        <v>110</v>
      </c>
      <c r="M52" s="6" t="n">
        <v>160</v>
      </c>
      <c r="N52" s="6" t="inlineStr"/>
      <c r="O52" s="6" t="inlineStr"/>
      <c r="P52" s="16" t="inlineStr">
        <is>
          <t>f3 · 100% · under</t>
        </is>
      </c>
      <c r="Q52" s="6" t="inlineStr"/>
      <c r="R52" s="6" t="inlineStr"/>
      <c r="S52" s="6" t="inlineStr"/>
      <c r="T52" s="6" t="n">
        <v>0</v>
      </c>
      <c r="U52" s="6" t="n">
        <v>0</v>
      </c>
      <c r="V52" s="6" t="inlineStr"/>
    </row>
    <row r="53">
      <c r="A53" s="14" t="n">
        <v>51</v>
      </c>
      <c r="B53" s="15">
        <f>A53*1000/60</f>
        <v/>
      </c>
      <c r="C53" s="14" t="inlineStr">
        <is>
          <t>D ควงไม้ = ชาร์จวง (ไม่มีดาเมจ)</t>
        </is>
      </c>
      <c r="D53" s="14" t="inlineStr">
        <is>
          <t>C15</t>
        </is>
      </c>
      <c r="E53" s="14" t="inlineStr">
        <is>
          <t>S2 clip 14</t>
        </is>
      </c>
      <c r="F53" s="14" t="n">
        <v>4</v>
      </c>
      <c r="G53" s="6" t="n">
        <v>0</v>
      </c>
      <c r="H53" s="6" t="n">
        <v>0</v>
      </c>
      <c r="I53" s="7">
        <f>G53/80</f>
        <v/>
      </c>
      <c r="J53" s="6" t="n">
        <v>390</v>
      </c>
      <c r="K53" s="6" t="n">
        <v>200</v>
      </c>
      <c r="L53" s="6" t="n">
        <v>110</v>
      </c>
      <c r="M53" s="6" t="n">
        <v>160</v>
      </c>
      <c r="N53" s="6" t="inlineStr"/>
      <c r="O53" s="6" t="inlineStr"/>
      <c r="P53" s="16" t="inlineStr">
        <is>
          <t>f3 · 100% · under</t>
        </is>
      </c>
      <c r="Q53" s="6" t="inlineStr"/>
      <c r="R53" s="6" t="inlineStr"/>
      <c r="S53" s="6" t="inlineStr"/>
      <c r="T53" s="6" t="n">
        <v>0</v>
      </c>
      <c r="U53" s="6" t="n">
        <v>0</v>
      </c>
      <c r="V53" s="6" t="inlineStr"/>
    </row>
    <row r="54">
      <c r="A54" s="14" t="n">
        <v>52</v>
      </c>
      <c r="B54" s="15">
        <f>A54*1000/60</f>
        <v/>
      </c>
      <c r="C54" s="14" t="inlineStr">
        <is>
          <t>D ควงไม้ = ชาร์จวง (ไม่มีดาเมจ)</t>
        </is>
      </c>
      <c r="D54" s="14" t="inlineStr">
        <is>
          <t>C16</t>
        </is>
      </c>
      <c r="E54" s="14" t="inlineStr">
        <is>
          <t>S2 clip 15</t>
        </is>
      </c>
      <c r="F54" s="14" t="n">
        <v>1</v>
      </c>
      <c r="G54" s="6" t="n">
        <v>0</v>
      </c>
      <c r="H54" s="6" t="n">
        <v>0</v>
      </c>
      <c r="I54" s="7">
        <f>G54/80</f>
        <v/>
      </c>
      <c r="J54" s="6" t="n">
        <v>390</v>
      </c>
      <c r="K54" s="6" t="n">
        <v>200</v>
      </c>
      <c r="L54" s="6" t="n">
        <v>110</v>
      </c>
      <c r="M54" s="6" t="n">
        <v>160</v>
      </c>
      <c r="N54" s="6" t="inlineStr"/>
      <c r="O54" s="6" t="inlineStr"/>
      <c r="P54" s="16" t="inlineStr">
        <is>
          <t>f3 · 100% · under</t>
        </is>
      </c>
      <c r="Q54" s="6" t="inlineStr"/>
      <c r="R54" s="6" t="inlineStr"/>
      <c r="S54" s="6" t="inlineStr"/>
      <c r="T54" s="6" t="n">
        <v>0</v>
      </c>
      <c r="U54" s="6" t="n">
        <v>0</v>
      </c>
      <c r="V54" s="6" t="inlineStr"/>
    </row>
    <row r="55">
      <c r="A55" s="14" t="n">
        <v>53</v>
      </c>
      <c r="B55" s="15">
        <f>A55*1000/60</f>
        <v/>
      </c>
      <c r="C55" s="14" t="inlineStr">
        <is>
          <t>D ควงไม้ = ชาร์จวง (ไม่มีดาเมจ)</t>
        </is>
      </c>
      <c r="D55" s="14" t="inlineStr">
        <is>
          <t>C16</t>
        </is>
      </c>
      <c r="E55" s="14" t="inlineStr">
        <is>
          <t>S2 clip 15</t>
        </is>
      </c>
      <c r="F55" s="14" t="n">
        <v>2</v>
      </c>
      <c r="G55" s="6" t="n">
        <v>0</v>
      </c>
      <c r="H55" s="6" t="n">
        <v>0</v>
      </c>
      <c r="I55" s="7">
        <f>G55/80</f>
        <v/>
      </c>
      <c r="J55" s="6" t="n">
        <v>390</v>
      </c>
      <c r="K55" s="6" t="n">
        <v>200</v>
      </c>
      <c r="L55" s="6" t="n">
        <v>110</v>
      </c>
      <c r="M55" s="6" t="n">
        <v>160</v>
      </c>
      <c r="N55" s="6" t="inlineStr"/>
      <c r="O55" s="6" t="inlineStr"/>
      <c r="P55" s="16" t="inlineStr">
        <is>
          <t>f4 · 100% · under</t>
        </is>
      </c>
      <c r="Q55" s="6" t="inlineStr"/>
      <c r="R55" s="6" t="inlineStr"/>
      <c r="S55" s="6" t="inlineStr"/>
      <c r="T55" s="6" t="n">
        <v>0</v>
      </c>
      <c r="U55" s="6" t="n">
        <v>0</v>
      </c>
      <c r="V55" s="6" t="inlineStr"/>
    </row>
    <row r="56">
      <c r="A56" s="14" t="n">
        <v>54</v>
      </c>
      <c r="B56" s="15">
        <f>A56*1000/60</f>
        <v/>
      </c>
      <c r="C56" s="14" t="inlineStr">
        <is>
          <t>D ควงไม้ = ชาร์จวง (ไม่มีดาเมจ)</t>
        </is>
      </c>
      <c r="D56" s="14" t="inlineStr">
        <is>
          <t>C16</t>
        </is>
      </c>
      <c r="E56" s="14" t="inlineStr">
        <is>
          <t>S2 clip 15</t>
        </is>
      </c>
      <c r="F56" s="14" t="n">
        <v>3</v>
      </c>
      <c r="G56" s="6" t="n">
        <v>0</v>
      </c>
      <c r="H56" s="6" t="n">
        <v>0</v>
      </c>
      <c r="I56" s="7">
        <f>G56/80</f>
        <v/>
      </c>
      <c r="J56" s="6" t="n">
        <v>390</v>
      </c>
      <c r="K56" s="6" t="n">
        <v>200</v>
      </c>
      <c r="L56" s="6" t="n">
        <v>110</v>
      </c>
      <c r="M56" s="6" t="n">
        <v>160</v>
      </c>
      <c r="N56" s="6" t="inlineStr"/>
      <c r="O56" s="6" t="inlineStr"/>
      <c r="P56" s="16" t="inlineStr">
        <is>
          <t>f4 · 100% · under</t>
        </is>
      </c>
      <c r="Q56" s="6" t="inlineStr"/>
      <c r="R56" s="6" t="inlineStr"/>
      <c r="S56" s="6" t="inlineStr"/>
      <c r="T56" s="6" t="n">
        <v>0</v>
      </c>
      <c r="U56" s="6" t="n">
        <v>0</v>
      </c>
      <c r="V56" s="6" t="inlineStr"/>
    </row>
    <row r="57">
      <c r="A57" s="14" t="n">
        <v>55</v>
      </c>
      <c r="B57" s="15">
        <f>A57*1000/60</f>
        <v/>
      </c>
      <c r="C57" s="14" t="inlineStr">
        <is>
          <t>D ควงไม้ = ชาร์จวง (ไม่มีดาเมจ)</t>
        </is>
      </c>
      <c r="D57" s="14" t="inlineStr">
        <is>
          <t>C16</t>
        </is>
      </c>
      <c r="E57" s="14" t="inlineStr">
        <is>
          <t>S2 clip 15</t>
        </is>
      </c>
      <c r="F57" s="14" t="n">
        <v>4</v>
      </c>
      <c r="G57" s="6" t="n">
        <v>0</v>
      </c>
      <c r="H57" s="6" t="n">
        <v>0</v>
      </c>
      <c r="I57" s="7">
        <f>G57/80</f>
        <v/>
      </c>
      <c r="J57" s="6" t="n">
        <v>390</v>
      </c>
      <c r="K57" s="6" t="n">
        <v>200</v>
      </c>
      <c r="L57" s="6" t="n">
        <v>110</v>
      </c>
      <c r="M57" s="6" t="n">
        <v>160</v>
      </c>
      <c r="N57" s="6" t="inlineStr"/>
      <c r="O57" s="6" t="inlineStr"/>
      <c r="P57" s="16" t="inlineStr">
        <is>
          <t>f4 · 100% · under</t>
        </is>
      </c>
      <c r="Q57" s="6" t="inlineStr"/>
      <c r="R57" s="6" t="inlineStr"/>
      <c r="S57" s="6" t="inlineStr"/>
      <c r="T57" s="6" t="n">
        <v>0</v>
      </c>
      <c r="U57" s="6" t="n">
        <v>0</v>
      </c>
      <c r="V57" s="6" t="inlineStr"/>
    </row>
    <row r="58">
      <c r="A58" s="14" t="n">
        <v>56</v>
      </c>
      <c r="B58" s="15">
        <f>A58*1000/60</f>
        <v/>
      </c>
      <c r="C58" s="14" t="inlineStr">
        <is>
          <t>D ควงไม้ = ชาร์จวง (ไม่มีดาเมจ)</t>
        </is>
      </c>
      <c r="D58" s="14" t="inlineStr">
        <is>
          <t>C17</t>
        </is>
      </c>
      <c r="E58" s="14" t="inlineStr">
        <is>
          <t>S2 clip 16</t>
        </is>
      </c>
      <c r="F58" s="14" t="n">
        <v>1</v>
      </c>
      <c r="G58" s="6" t="n">
        <v>0</v>
      </c>
      <c r="H58" s="6" t="n">
        <v>0</v>
      </c>
      <c r="I58" s="7">
        <f>G58/80</f>
        <v/>
      </c>
      <c r="J58" s="6" t="n">
        <v>390</v>
      </c>
      <c r="K58" s="6" t="n">
        <v>200</v>
      </c>
      <c r="L58" s="6" t="n">
        <v>110</v>
      </c>
      <c r="M58" s="6" t="n">
        <v>160</v>
      </c>
      <c r="N58" s="6" t="inlineStr"/>
      <c r="O58" s="6" t="inlineStr"/>
      <c r="P58" s="16" t="inlineStr">
        <is>
          <t>f4 · 100% · under</t>
        </is>
      </c>
      <c r="Q58" s="6" t="inlineStr"/>
      <c r="R58" s="6" t="inlineStr"/>
      <c r="S58" s="6" t="inlineStr"/>
      <c r="T58" s="6" t="n">
        <v>0</v>
      </c>
      <c r="U58" s="6" t="n">
        <v>0</v>
      </c>
      <c r="V58" s="6" t="inlineStr"/>
    </row>
    <row r="59">
      <c r="A59" s="14" t="n">
        <v>57</v>
      </c>
      <c r="B59" s="15">
        <f>A59*1000/60</f>
        <v/>
      </c>
      <c r="C59" s="14" t="inlineStr">
        <is>
          <t>D ควงไม้ = ชาร์จวง (ไม่มีดาเมจ)</t>
        </is>
      </c>
      <c r="D59" s="14" t="inlineStr">
        <is>
          <t>C17</t>
        </is>
      </c>
      <c r="E59" s="14" t="inlineStr">
        <is>
          <t>S2 clip 16</t>
        </is>
      </c>
      <c r="F59" s="14" t="n">
        <v>2</v>
      </c>
      <c r="G59" s="6" t="n">
        <v>0</v>
      </c>
      <c r="H59" s="6" t="n">
        <v>0</v>
      </c>
      <c r="I59" s="7">
        <f>G59/80</f>
        <v/>
      </c>
      <c r="J59" s="6" t="n">
        <v>390</v>
      </c>
      <c r="K59" s="6" t="n">
        <v>200</v>
      </c>
      <c r="L59" s="6" t="n">
        <v>110</v>
      </c>
      <c r="M59" s="6" t="n">
        <v>160</v>
      </c>
      <c r="N59" s="6" t="inlineStr"/>
      <c r="O59" s="6" t="inlineStr"/>
      <c r="P59" s="16" t="inlineStr">
        <is>
          <t>f4 · 100% · under</t>
        </is>
      </c>
      <c r="Q59" s="6" t="inlineStr"/>
      <c r="R59" s="6" t="inlineStr"/>
      <c r="S59" s="6" t="inlineStr"/>
      <c r="T59" s="6" t="n">
        <v>0</v>
      </c>
      <c r="U59" s="6" t="n">
        <v>0</v>
      </c>
      <c r="V59" s="6" t="inlineStr"/>
    </row>
    <row r="60">
      <c r="A60" s="14" t="n">
        <v>58</v>
      </c>
      <c r="B60" s="15">
        <f>A60*1000/60</f>
        <v/>
      </c>
      <c r="C60" s="14" t="inlineStr">
        <is>
          <t>D ควงไม้ = ชาร์จวง (ไม่มีดาเมจ)</t>
        </is>
      </c>
      <c r="D60" s="14" t="inlineStr">
        <is>
          <t>C17</t>
        </is>
      </c>
      <c r="E60" s="14" t="inlineStr">
        <is>
          <t>S2 clip 16</t>
        </is>
      </c>
      <c r="F60" s="14" t="n">
        <v>3</v>
      </c>
      <c r="G60" s="6" t="n">
        <v>0</v>
      </c>
      <c r="H60" s="6" t="n">
        <v>0</v>
      </c>
      <c r="I60" s="7">
        <f>G60/80</f>
        <v/>
      </c>
      <c r="J60" s="6" t="n">
        <v>390</v>
      </c>
      <c r="K60" s="6" t="n">
        <v>200</v>
      </c>
      <c r="L60" s="6" t="n">
        <v>110</v>
      </c>
      <c r="M60" s="6" t="n">
        <v>160</v>
      </c>
      <c r="N60" s="6" t="inlineStr"/>
      <c r="O60" s="6" t="inlineStr"/>
      <c r="P60" s="16" t="inlineStr">
        <is>
          <t>f5 · 100% · under</t>
        </is>
      </c>
      <c r="Q60" s="6" t="inlineStr"/>
      <c r="R60" s="6" t="inlineStr"/>
      <c r="S60" s="6" t="inlineStr"/>
      <c r="T60" s="6" t="n">
        <v>0</v>
      </c>
      <c r="U60" s="6" t="n">
        <v>0</v>
      </c>
      <c r="V60" s="6" t="inlineStr"/>
    </row>
    <row r="61">
      <c r="A61" s="14" t="n">
        <v>59</v>
      </c>
      <c r="B61" s="15">
        <f>A61*1000/60</f>
        <v/>
      </c>
      <c r="C61" s="14" t="inlineStr">
        <is>
          <t>D ควงไม้ = ชาร์จวง (ไม่มีดาเมจ)</t>
        </is>
      </c>
      <c r="D61" s="14" t="inlineStr">
        <is>
          <t>C17</t>
        </is>
      </c>
      <c r="E61" s="14" t="inlineStr">
        <is>
          <t>S2 clip 16</t>
        </is>
      </c>
      <c r="F61" s="14" t="n">
        <v>4</v>
      </c>
      <c r="G61" s="6" t="n">
        <v>0</v>
      </c>
      <c r="H61" s="6" t="n">
        <v>0</v>
      </c>
      <c r="I61" s="7">
        <f>G61/80</f>
        <v/>
      </c>
      <c r="J61" s="6" t="n">
        <v>390</v>
      </c>
      <c r="K61" s="6" t="n">
        <v>200</v>
      </c>
      <c r="L61" s="6" t="n">
        <v>110</v>
      </c>
      <c r="M61" s="6" t="n">
        <v>160</v>
      </c>
      <c r="N61" s="6" t="inlineStr"/>
      <c r="O61" s="6" t="inlineStr"/>
      <c r="P61" s="16" t="inlineStr">
        <is>
          <t>f5 · 100% · under</t>
        </is>
      </c>
      <c r="Q61" s="6" t="inlineStr"/>
      <c r="R61" s="6" t="inlineStr"/>
      <c r="S61" s="6" t="inlineStr"/>
      <c r="T61" s="6" t="n">
        <v>0</v>
      </c>
      <c r="U61" s="6" t="n">
        <v>0</v>
      </c>
      <c r="V61" s="6" t="inlineStr"/>
    </row>
    <row r="62">
      <c r="A62" s="14" t="n">
        <v>60</v>
      </c>
      <c r="B62" s="15">
        <f>A62*1000/60</f>
        <v/>
      </c>
      <c r="C62" s="14" t="inlineStr">
        <is>
          <t>D ควงไม้ = ชาร์จวง (ไม่มีดาเมจ)</t>
        </is>
      </c>
      <c r="D62" s="14" t="inlineStr">
        <is>
          <t>C18</t>
        </is>
      </c>
      <c r="E62" s="14" t="inlineStr">
        <is>
          <t>S2 clip 17</t>
        </is>
      </c>
      <c r="F62" s="14" t="n">
        <v>1</v>
      </c>
      <c r="G62" s="6" t="n">
        <v>0</v>
      </c>
      <c r="H62" s="6" t="n">
        <v>0</v>
      </c>
      <c r="I62" s="7">
        <f>G62/80</f>
        <v/>
      </c>
      <c r="J62" s="6" t="n">
        <v>390</v>
      </c>
      <c r="K62" s="6" t="n">
        <v>200</v>
      </c>
      <c r="L62" s="6" t="n">
        <v>110</v>
      </c>
      <c r="M62" s="6" t="n">
        <v>160</v>
      </c>
      <c r="N62" s="6" t="inlineStr"/>
      <c r="O62" s="6" t="inlineStr"/>
      <c r="P62" s="16" t="inlineStr">
        <is>
          <t>f5 · 100% · under</t>
        </is>
      </c>
      <c r="Q62" s="6" t="inlineStr"/>
      <c r="R62" s="6" t="inlineStr"/>
      <c r="S62" s="6" t="inlineStr"/>
      <c r="T62" s="6" t="n">
        <v>0</v>
      </c>
      <c r="U62" s="6" t="n">
        <v>0</v>
      </c>
      <c r="V62" s="6" t="inlineStr"/>
    </row>
    <row r="63">
      <c r="A63" s="14" t="n">
        <v>61</v>
      </c>
      <c r="B63" s="15">
        <f>A63*1000/60</f>
        <v/>
      </c>
      <c r="C63" s="14" t="inlineStr">
        <is>
          <t>D ควงไม้ = ชาร์จวง (ไม่มีดาเมจ)</t>
        </is>
      </c>
      <c r="D63" s="14" t="inlineStr">
        <is>
          <t>C18</t>
        </is>
      </c>
      <c r="E63" s="14" t="inlineStr">
        <is>
          <t>S2 clip 17</t>
        </is>
      </c>
      <c r="F63" s="14" t="n">
        <v>2</v>
      </c>
      <c r="G63" s="6" t="n">
        <v>0</v>
      </c>
      <c r="H63" s="6" t="n">
        <v>0</v>
      </c>
      <c r="I63" s="7">
        <f>G63/80</f>
        <v/>
      </c>
      <c r="J63" s="6" t="n">
        <v>390</v>
      </c>
      <c r="K63" s="6" t="n">
        <v>200</v>
      </c>
      <c r="L63" s="6" t="n">
        <v>110</v>
      </c>
      <c r="M63" s="6" t="n">
        <v>160</v>
      </c>
      <c r="N63" s="6" t="inlineStr"/>
      <c r="O63" s="6" t="inlineStr"/>
      <c r="P63" s="16" t="inlineStr">
        <is>
          <t>f5 · 100% · under</t>
        </is>
      </c>
      <c r="Q63" s="6" t="inlineStr"/>
      <c r="R63" s="6" t="inlineStr"/>
      <c r="S63" s="6" t="inlineStr"/>
      <c r="T63" s="6" t="n">
        <v>0</v>
      </c>
      <c r="U63" s="6" t="n">
        <v>0</v>
      </c>
      <c r="V63" s="6" t="inlineStr"/>
    </row>
    <row r="64">
      <c r="A64" s="14" t="n">
        <v>62</v>
      </c>
      <c r="B64" s="15">
        <f>A64*1000/60</f>
        <v/>
      </c>
      <c r="C64" s="14" t="inlineStr">
        <is>
          <t>D ควงไม้ = ชาร์จวง (ไม่มีดาเมจ)</t>
        </is>
      </c>
      <c r="D64" s="14" t="inlineStr">
        <is>
          <t>C18</t>
        </is>
      </c>
      <c r="E64" s="14" t="inlineStr">
        <is>
          <t>S2 clip 17</t>
        </is>
      </c>
      <c r="F64" s="14" t="n">
        <v>3</v>
      </c>
      <c r="G64" s="6" t="n">
        <v>0</v>
      </c>
      <c r="H64" s="6" t="n">
        <v>0</v>
      </c>
      <c r="I64" s="7">
        <f>G64/80</f>
        <v/>
      </c>
      <c r="J64" s="6" t="n">
        <v>390</v>
      </c>
      <c r="K64" s="6" t="n">
        <v>200</v>
      </c>
      <c r="L64" s="6" t="n">
        <v>110</v>
      </c>
      <c r="M64" s="6" t="n">
        <v>160</v>
      </c>
      <c r="N64" s="6" t="inlineStr"/>
      <c r="O64" s="6" t="inlineStr"/>
      <c r="P64" s="16" t="inlineStr">
        <is>
          <t>f5 · 100% · under</t>
        </is>
      </c>
      <c r="Q64" s="6" t="inlineStr"/>
      <c r="R64" s="6" t="inlineStr"/>
      <c r="S64" s="6" t="inlineStr"/>
      <c r="T64" s="6" t="n">
        <v>0</v>
      </c>
      <c r="U64" s="6" t="n">
        <v>0</v>
      </c>
      <c r="V64" s="6" t="inlineStr"/>
    </row>
    <row r="65">
      <c r="A65" s="14" t="n">
        <v>63</v>
      </c>
      <c r="B65" s="15">
        <f>A65*1000/60</f>
        <v/>
      </c>
      <c r="C65" s="14" t="inlineStr">
        <is>
          <t>D ควงไม้ = ชาร์จวง (ไม่มีดาเมจ)</t>
        </is>
      </c>
      <c r="D65" s="14" t="inlineStr">
        <is>
          <t>C18</t>
        </is>
      </c>
      <c r="E65" s="14" t="inlineStr">
        <is>
          <t>S2 clip 17</t>
        </is>
      </c>
      <c r="F65" s="14" t="n">
        <v>4</v>
      </c>
      <c r="G65" s="6" t="n">
        <v>0</v>
      </c>
      <c r="H65" s="6" t="n">
        <v>0</v>
      </c>
      <c r="I65" s="7">
        <f>G65/80</f>
        <v/>
      </c>
      <c r="J65" s="6" t="n">
        <v>390</v>
      </c>
      <c r="K65" s="6" t="n">
        <v>200</v>
      </c>
      <c r="L65" s="6" t="n">
        <v>110</v>
      </c>
      <c r="M65" s="6" t="n">
        <v>160</v>
      </c>
      <c r="N65" s="6" t="inlineStr"/>
      <c r="O65" s="6" t="inlineStr"/>
      <c r="P65" s="16" t="inlineStr">
        <is>
          <t>f6 · 100% · under</t>
        </is>
      </c>
      <c r="Q65" s="6" t="inlineStr"/>
      <c r="R65" s="6" t="inlineStr"/>
      <c r="S65" s="6" t="inlineStr"/>
      <c r="T65" s="6" t="n">
        <v>0</v>
      </c>
      <c r="U65" s="6" t="n">
        <v>0</v>
      </c>
      <c r="V65" s="6" t="inlineStr"/>
    </row>
    <row r="66">
      <c r="A66" s="14" t="n">
        <v>64</v>
      </c>
      <c r="B66" s="15">
        <f>A66*1000/60</f>
        <v/>
      </c>
      <c r="C66" s="14" t="inlineStr">
        <is>
          <t>D ควงไม้ = ชาร์จวง (ไม่มีดาเมจ)</t>
        </is>
      </c>
      <c r="D66" s="14" t="inlineStr">
        <is>
          <t>C18</t>
        </is>
      </c>
      <c r="E66" s="14" t="inlineStr">
        <is>
          <t>S2 clip 17</t>
        </is>
      </c>
      <c r="F66" s="14" t="n">
        <v>5</v>
      </c>
      <c r="G66" s="6" t="n">
        <v>0</v>
      </c>
      <c r="H66" s="6" t="n">
        <v>0</v>
      </c>
      <c r="I66" s="7">
        <f>G66/80</f>
        <v/>
      </c>
      <c r="J66" s="6" t="n">
        <v>390</v>
      </c>
      <c r="K66" s="6" t="n">
        <v>200</v>
      </c>
      <c r="L66" s="6" t="n">
        <v>110</v>
      </c>
      <c r="M66" s="6" t="n">
        <v>160</v>
      </c>
      <c r="N66" s="6" t="inlineStr"/>
      <c r="O66" s="6" t="inlineStr"/>
      <c r="P66" s="16" t="inlineStr">
        <is>
          <t>f6 · 100% · under</t>
        </is>
      </c>
      <c r="Q66" s="6" t="inlineStr"/>
      <c r="R66" s="6" t="inlineStr"/>
      <c r="S66" s="6" t="inlineStr"/>
      <c r="T66" s="6" t="n">
        <v>0</v>
      </c>
      <c r="U66" s="6" t="n">
        <v>0</v>
      </c>
      <c r="V66" s="6" t="inlineStr"/>
    </row>
    <row r="67">
      <c r="A67" s="14" t="n">
        <v>65</v>
      </c>
      <c r="B67" s="15">
        <f>A67*1000/60</f>
        <v/>
      </c>
      <c r="C67" s="14" t="inlineStr">
        <is>
          <t>D ควงไม้ = ชาร์จวง (ไม่มีดาเมจ)</t>
        </is>
      </c>
      <c r="D67" s="14" t="inlineStr">
        <is>
          <t>C19</t>
        </is>
      </c>
      <c r="E67" s="14" t="inlineStr">
        <is>
          <t>S2 clip 18</t>
        </is>
      </c>
      <c r="F67" s="14" t="n">
        <v>1</v>
      </c>
      <c r="G67" s="6" t="n">
        <v>0</v>
      </c>
      <c r="H67" s="6" t="n">
        <v>0</v>
      </c>
      <c r="I67" s="7">
        <f>G67/80</f>
        <v/>
      </c>
      <c r="J67" s="6" t="n">
        <v>390</v>
      </c>
      <c r="K67" s="6" t="n">
        <v>200</v>
      </c>
      <c r="L67" s="6" t="n">
        <v>110</v>
      </c>
      <c r="M67" s="6" t="n">
        <v>160</v>
      </c>
      <c r="N67" s="6" t="inlineStr"/>
      <c r="O67" s="6" t="inlineStr"/>
      <c r="P67" s="16" t="inlineStr">
        <is>
          <t>f6 · 100% · under</t>
        </is>
      </c>
      <c r="Q67" s="6" t="inlineStr"/>
      <c r="R67" s="6" t="inlineStr"/>
      <c r="S67" s="6" t="inlineStr"/>
      <c r="T67" s="6" t="n">
        <v>0</v>
      </c>
      <c r="U67" s="6" t="n">
        <v>0</v>
      </c>
      <c r="V67" s="6" t="inlineStr"/>
    </row>
    <row r="68">
      <c r="A68" s="14" t="n">
        <v>66</v>
      </c>
      <c r="B68" s="15">
        <f>A68*1000/60</f>
        <v/>
      </c>
      <c r="C68" s="14" t="inlineStr">
        <is>
          <t>D ควงไม้ = ชาร์จวง (ไม่มีดาเมจ)</t>
        </is>
      </c>
      <c r="D68" s="14" t="inlineStr">
        <is>
          <t>C19</t>
        </is>
      </c>
      <c r="E68" s="14" t="inlineStr">
        <is>
          <t>S2 clip 18</t>
        </is>
      </c>
      <c r="F68" s="14" t="n">
        <v>2</v>
      </c>
      <c r="G68" s="6" t="n">
        <v>0</v>
      </c>
      <c r="H68" s="6" t="n">
        <v>0</v>
      </c>
      <c r="I68" s="7">
        <f>G68/80</f>
        <v/>
      </c>
      <c r="J68" s="6" t="n">
        <v>390</v>
      </c>
      <c r="K68" s="6" t="n">
        <v>200</v>
      </c>
      <c r="L68" s="6" t="n">
        <v>110</v>
      </c>
      <c r="M68" s="6" t="n">
        <v>160</v>
      </c>
      <c r="N68" s="6" t="inlineStr"/>
      <c r="O68" s="6" t="inlineStr"/>
      <c r="P68" s="16" t="inlineStr">
        <is>
          <t>f6 · 100% · under</t>
        </is>
      </c>
      <c r="Q68" s="6" t="inlineStr"/>
      <c r="R68" s="6" t="inlineStr"/>
      <c r="S68" s="6" t="inlineStr"/>
      <c r="T68" s="6" t="n">
        <v>0</v>
      </c>
      <c r="U68" s="6" t="n">
        <v>0</v>
      </c>
      <c r="V68" s="6" t="inlineStr"/>
    </row>
    <row r="69">
      <c r="A69" s="14" t="n">
        <v>67</v>
      </c>
      <c r="B69" s="15">
        <f>A69*1000/60</f>
        <v/>
      </c>
      <c r="C69" s="14" t="inlineStr">
        <is>
          <t>D ควงไม้ = ชาร์จวง (ไม่มีดาเมจ)</t>
        </is>
      </c>
      <c r="D69" s="14" t="inlineStr">
        <is>
          <t>C19</t>
        </is>
      </c>
      <c r="E69" s="14" t="inlineStr">
        <is>
          <t>S2 clip 18</t>
        </is>
      </c>
      <c r="F69" s="14" t="n">
        <v>3</v>
      </c>
      <c r="G69" s="6" t="n">
        <v>0</v>
      </c>
      <c r="H69" s="6" t="n">
        <v>0</v>
      </c>
      <c r="I69" s="7">
        <f>G69/80</f>
        <v/>
      </c>
      <c r="J69" s="6" t="n">
        <v>390</v>
      </c>
      <c r="K69" s="6" t="n">
        <v>200</v>
      </c>
      <c r="L69" s="6" t="n">
        <v>110</v>
      </c>
      <c r="M69" s="6" t="n">
        <v>160</v>
      </c>
      <c r="N69" s="6" t="inlineStr"/>
      <c r="O69" s="6" t="inlineStr"/>
      <c r="P69" s="16" t="inlineStr">
        <is>
          <t>f7 · 100% · under</t>
        </is>
      </c>
      <c r="Q69" s="6" t="inlineStr"/>
      <c r="R69" s="6" t="inlineStr"/>
      <c r="S69" s="6" t="inlineStr"/>
      <c r="T69" s="6" t="n">
        <v>0</v>
      </c>
      <c r="U69" s="6" t="n">
        <v>0</v>
      </c>
      <c r="V69" s="6" t="inlineStr"/>
    </row>
    <row r="70">
      <c r="A70" s="14" t="n">
        <v>68</v>
      </c>
      <c r="B70" s="15">
        <f>A70*1000/60</f>
        <v/>
      </c>
      <c r="C70" s="14" t="inlineStr">
        <is>
          <t>D ควงไม้ = ชาร์จวง (ไม่มีดาเมจ)</t>
        </is>
      </c>
      <c r="D70" s="14" t="inlineStr">
        <is>
          <t>C20</t>
        </is>
      </c>
      <c r="E70" s="14" t="inlineStr">
        <is>
          <t>S2 clip 19</t>
        </is>
      </c>
      <c r="F70" s="14" t="n">
        <v>1</v>
      </c>
      <c r="G70" s="6" t="n">
        <v>0</v>
      </c>
      <c r="H70" s="6" t="n">
        <v>0</v>
      </c>
      <c r="I70" s="7">
        <f>G70/80</f>
        <v/>
      </c>
      <c r="J70" s="6" t="n">
        <v>390</v>
      </c>
      <c r="K70" s="6" t="n">
        <v>200</v>
      </c>
      <c r="L70" s="6" t="n">
        <v>110</v>
      </c>
      <c r="M70" s="6" t="n">
        <v>160</v>
      </c>
      <c r="N70" s="6" t="inlineStr"/>
      <c r="O70" s="6" t="inlineStr"/>
      <c r="P70" s="16" t="inlineStr">
        <is>
          <t>f7 · 100% · under</t>
        </is>
      </c>
      <c r="Q70" s="6" t="inlineStr"/>
      <c r="R70" s="6" t="inlineStr"/>
      <c r="S70" s="6" t="inlineStr"/>
      <c r="T70" s="6" t="n">
        <v>0</v>
      </c>
      <c r="U70" s="6" t="n">
        <v>0</v>
      </c>
      <c r="V70" s="6" t="inlineStr"/>
    </row>
    <row r="71">
      <c r="A71" s="14" t="n">
        <v>69</v>
      </c>
      <c r="B71" s="15">
        <f>A71*1000/60</f>
        <v/>
      </c>
      <c r="C71" s="14" t="inlineStr">
        <is>
          <t>D ควงไม้ = ชาร์จวง (ไม่มีดาเมจ)</t>
        </is>
      </c>
      <c r="D71" s="14" t="inlineStr">
        <is>
          <t>C20</t>
        </is>
      </c>
      <c r="E71" s="14" t="inlineStr">
        <is>
          <t>S2 clip 19</t>
        </is>
      </c>
      <c r="F71" s="14" t="n">
        <v>2</v>
      </c>
      <c r="G71" s="6" t="n">
        <v>0</v>
      </c>
      <c r="H71" s="6" t="n">
        <v>0</v>
      </c>
      <c r="I71" s="7">
        <f>G71/80</f>
        <v/>
      </c>
      <c r="J71" s="6" t="n">
        <v>390</v>
      </c>
      <c r="K71" s="6" t="n">
        <v>200</v>
      </c>
      <c r="L71" s="6" t="n">
        <v>110</v>
      </c>
      <c r="M71" s="6" t="n">
        <v>160</v>
      </c>
      <c r="N71" s="6" t="inlineStr"/>
      <c r="O71" s="6" t="inlineStr"/>
      <c r="P71" s="16" t="inlineStr">
        <is>
          <t>f7 · 100% · under</t>
        </is>
      </c>
      <c r="Q71" s="6" t="inlineStr"/>
      <c r="R71" s="6" t="inlineStr"/>
      <c r="S71" s="6" t="inlineStr"/>
      <c r="T71" s="6" t="n">
        <v>0</v>
      </c>
      <c r="U71" s="6" t="n">
        <v>0</v>
      </c>
      <c r="V71" s="6" t="inlineStr"/>
    </row>
    <row r="72">
      <c r="A72" s="14" t="n">
        <v>70</v>
      </c>
      <c r="B72" s="15">
        <f>A72*1000/60</f>
        <v/>
      </c>
      <c r="C72" s="14" t="inlineStr">
        <is>
          <t>D ควงไม้ = ชาร์จวง (ไม่มีดาเมจ)</t>
        </is>
      </c>
      <c r="D72" s="14" t="inlineStr">
        <is>
          <t>C20</t>
        </is>
      </c>
      <c r="E72" s="14" t="inlineStr">
        <is>
          <t>S2 clip 19</t>
        </is>
      </c>
      <c r="F72" s="14" t="n">
        <v>3</v>
      </c>
      <c r="G72" s="6" t="n">
        <v>0</v>
      </c>
      <c r="H72" s="6" t="n">
        <v>0</v>
      </c>
      <c r="I72" s="7">
        <f>G72/80</f>
        <v/>
      </c>
      <c r="J72" s="6" t="n">
        <v>390</v>
      </c>
      <c r="K72" s="6" t="n">
        <v>200</v>
      </c>
      <c r="L72" s="6" t="n">
        <v>110</v>
      </c>
      <c r="M72" s="6" t="n">
        <v>160</v>
      </c>
      <c r="N72" s="6" t="inlineStr"/>
      <c r="O72" s="6" t="inlineStr"/>
      <c r="P72" s="16" t="inlineStr">
        <is>
          <t>f7 · 100% · under</t>
        </is>
      </c>
      <c r="Q72" s="6" t="inlineStr"/>
      <c r="R72" s="6" t="inlineStr"/>
      <c r="S72" s="6" t="inlineStr"/>
      <c r="T72" s="6" t="n">
        <v>0</v>
      </c>
      <c r="U72" s="6" t="n">
        <v>0</v>
      </c>
      <c r="V72" s="6" t="inlineStr"/>
    </row>
    <row r="73">
      <c r="A73" s="14" t="n">
        <v>71</v>
      </c>
      <c r="B73" s="15">
        <f>A73*1000/60</f>
        <v/>
      </c>
      <c r="C73" s="14" t="inlineStr">
        <is>
          <t>D ควงไม้ = ชาร์จวง (ไม่มีดาเมจ)</t>
        </is>
      </c>
      <c r="D73" s="14" t="inlineStr">
        <is>
          <t>C21</t>
        </is>
      </c>
      <c r="E73" s="14" t="inlineStr">
        <is>
          <t>S2 clip 20</t>
        </is>
      </c>
      <c r="F73" s="14" t="n">
        <v>1</v>
      </c>
      <c r="G73" s="6" t="n">
        <v>0</v>
      </c>
      <c r="H73" s="6" t="n">
        <v>0</v>
      </c>
      <c r="I73" s="7">
        <f>G73/80</f>
        <v/>
      </c>
      <c r="J73" s="6" t="n">
        <v>390</v>
      </c>
      <c r="K73" s="6" t="n">
        <v>200</v>
      </c>
      <c r="L73" s="6" t="n">
        <v>110</v>
      </c>
      <c r="M73" s="6" t="n">
        <v>160</v>
      </c>
      <c r="N73" s="6" t="inlineStr"/>
      <c r="O73" s="6" t="inlineStr"/>
      <c r="P73" s="16" t="inlineStr">
        <is>
          <t>f7 · 100% · under</t>
        </is>
      </c>
      <c r="Q73" s="6" t="inlineStr"/>
      <c r="R73" s="6" t="inlineStr"/>
      <c r="S73" s="6" t="inlineStr"/>
      <c r="T73" s="6" t="n">
        <v>0</v>
      </c>
      <c r="U73" s="6" t="n">
        <v>0</v>
      </c>
      <c r="V73" s="6" t="inlineStr"/>
    </row>
    <row r="74">
      <c r="A74" s="14" t="n">
        <v>72</v>
      </c>
      <c r="B74" s="15">
        <f>A74*1000/60</f>
        <v/>
      </c>
      <c r="C74" s="14" t="inlineStr">
        <is>
          <t>D ควงไม้ = ชาร์จวง (ไม่มีดาเมจ)</t>
        </is>
      </c>
      <c r="D74" s="14" t="inlineStr">
        <is>
          <t>C21</t>
        </is>
      </c>
      <c r="E74" s="14" t="inlineStr">
        <is>
          <t>S2 clip 20</t>
        </is>
      </c>
      <c r="F74" s="14" t="n">
        <v>2</v>
      </c>
      <c r="G74" s="6" t="n">
        <v>0</v>
      </c>
      <c r="H74" s="6" t="n">
        <v>0</v>
      </c>
      <c r="I74" s="7">
        <f>G74/80</f>
        <v/>
      </c>
      <c r="J74" s="6" t="n">
        <v>390</v>
      </c>
      <c r="K74" s="6" t="n">
        <v>200</v>
      </c>
      <c r="L74" s="6" t="n">
        <v>110</v>
      </c>
      <c r="M74" s="6" t="n">
        <v>160</v>
      </c>
      <c r="N74" s="6" t="inlineStr"/>
      <c r="O74" s="6" t="inlineStr"/>
      <c r="P74" s="16" t="inlineStr">
        <is>
          <t>f8 · 100% · under</t>
        </is>
      </c>
      <c r="Q74" s="6" t="inlineStr"/>
      <c r="R74" s="6" t="inlineStr"/>
      <c r="S74" s="6" t="inlineStr"/>
      <c r="T74" s="6" t="n">
        <v>0</v>
      </c>
      <c r="U74" s="6" t="n">
        <v>0</v>
      </c>
      <c r="V74" s="6" t="inlineStr"/>
    </row>
    <row r="75">
      <c r="A75" s="14" t="n">
        <v>73</v>
      </c>
      <c r="B75" s="15">
        <f>A75*1000/60</f>
        <v/>
      </c>
      <c r="C75" s="14" t="inlineStr">
        <is>
          <t>D ควงไม้ = ชาร์จวง (ไม่มีดาเมจ)</t>
        </is>
      </c>
      <c r="D75" s="14" t="inlineStr">
        <is>
          <t>C21</t>
        </is>
      </c>
      <c r="E75" s="14" t="inlineStr">
        <is>
          <t>S2 clip 20</t>
        </is>
      </c>
      <c r="F75" s="14" t="n">
        <v>3</v>
      </c>
      <c r="G75" s="6" t="n">
        <v>0</v>
      </c>
      <c r="H75" s="6" t="n">
        <v>0</v>
      </c>
      <c r="I75" s="7">
        <f>G75/80</f>
        <v/>
      </c>
      <c r="J75" s="6" t="n">
        <v>390</v>
      </c>
      <c r="K75" s="6" t="n">
        <v>200</v>
      </c>
      <c r="L75" s="6" t="n">
        <v>110</v>
      </c>
      <c r="M75" s="6" t="n">
        <v>160</v>
      </c>
      <c r="N75" s="6" t="inlineStr">
        <is>
          <t>STRIKE_START #2</t>
        </is>
      </c>
      <c r="O75" s="6" t="inlineStr"/>
      <c r="P75" s="16" t="inlineStr">
        <is>
          <t>f8 · 100% · under</t>
        </is>
      </c>
      <c r="Q75" s="6" t="inlineStr"/>
      <c r="R75" s="6" t="inlineStr"/>
      <c r="S75" s="6" t="inlineStr"/>
      <c r="T75" s="6" t="n">
        <v>0</v>
      </c>
      <c r="U75" s="6" t="n">
        <v>0</v>
      </c>
      <c r="V75" s="6" t="inlineStr">
        <is>
          <t>C22</t>
        </is>
      </c>
    </row>
    <row r="76">
      <c r="A76" s="14" t="n">
        <v>74</v>
      </c>
      <c r="B76" s="15">
        <f>A76*1000/60</f>
        <v/>
      </c>
      <c r="C76" s="14" t="inlineStr">
        <is>
          <t>D ควงไม้ = ชาร์จวง (ไม่มีดาเมจ)</t>
        </is>
      </c>
      <c r="D76" s="14" t="inlineStr">
        <is>
          <t>C22</t>
        </is>
      </c>
      <c r="E76" s="14" t="inlineStr">
        <is>
          <t>S2 clip 21</t>
        </is>
      </c>
      <c r="F76" s="14" t="n">
        <v>1</v>
      </c>
      <c r="G76" s="6" t="n">
        <v>0</v>
      </c>
      <c r="H76" s="6" t="n">
        <v>0</v>
      </c>
      <c r="I76" s="7">
        <f>G76/80</f>
        <v/>
      </c>
      <c r="J76" s="6" t="n">
        <v>390</v>
      </c>
      <c r="K76" s="6" t="n">
        <v>200</v>
      </c>
      <c r="L76" s="6" t="n">
        <v>110</v>
      </c>
      <c r="M76" s="6" t="n">
        <v>160</v>
      </c>
      <c r="N76" s="6" t="inlineStr"/>
      <c r="O76" s="6" t="inlineStr"/>
      <c r="P76" s="16" t="inlineStr">
        <is>
          <t>f8 · 100% · under</t>
        </is>
      </c>
      <c r="Q76" s="6" t="inlineStr"/>
      <c r="R76" s="6" t="inlineStr"/>
      <c r="S76" s="6" t="inlineStr"/>
      <c r="T76" s="6" t="n">
        <v>0</v>
      </c>
      <c r="U76" s="6" t="n">
        <v>0</v>
      </c>
      <c r="V76" s="6" t="inlineStr"/>
    </row>
    <row r="77">
      <c r="A77" s="14" t="n">
        <v>75</v>
      </c>
      <c r="B77" s="15">
        <f>A77*1000/60</f>
        <v/>
      </c>
      <c r="C77" s="14" t="inlineStr">
        <is>
          <t>D ควงไม้ = ชาร์จวง (ไม่มีดาเมจ)</t>
        </is>
      </c>
      <c r="D77" s="14" t="inlineStr">
        <is>
          <t>C22</t>
        </is>
      </c>
      <c r="E77" s="14" t="inlineStr">
        <is>
          <t>S2 clip 21</t>
        </is>
      </c>
      <c r="F77" s="14" t="n">
        <v>2</v>
      </c>
      <c r="G77" s="6" t="n">
        <v>0</v>
      </c>
      <c r="H77" s="6" t="n">
        <v>0</v>
      </c>
      <c r="I77" s="7">
        <f>G77/80</f>
        <v/>
      </c>
      <c r="J77" s="6" t="n">
        <v>390</v>
      </c>
      <c r="K77" s="6" t="n">
        <v>200</v>
      </c>
      <c r="L77" s="6" t="n">
        <v>110</v>
      </c>
      <c r="M77" s="6" t="n">
        <v>160</v>
      </c>
      <c r="N77" s="6" t="inlineStr"/>
      <c r="O77" s="6" t="inlineStr"/>
      <c r="P77" s="16" t="inlineStr">
        <is>
          <t>f8 · 100% · under</t>
        </is>
      </c>
      <c r="Q77" s="6" t="inlineStr"/>
      <c r="R77" s="6" t="inlineStr"/>
      <c r="S77" s="6" t="inlineStr"/>
      <c r="T77" s="6" t="n">
        <v>0</v>
      </c>
      <c r="U77" s="6" t="n">
        <v>0</v>
      </c>
      <c r="V77" s="6" t="inlineStr"/>
    </row>
    <row r="78">
      <c r="A78" s="17" t="n">
        <v>76</v>
      </c>
      <c r="B78" s="18">
        <f>A78*1000/60</f>
        <v/>
      </c>
      <c r="C78" s="17" t="inlineStr">
        <is>
          <t>E ระเบิดวง + ดาเมจ/ดีบัฟ</t>
        </is>
      </c>
      <c r="D78" s="17" t="inlineStr">
        <is>
          <t>C22</t>
        </is>
      </c>
      <c r="E78" s="17" t="inlineStr">
        <is>
          <t>S2 clip 21</t>
        </is>
      </c>
      <c r="F78" s="17" t="n">
        <v>3</v>
      </c>
      <c r="G78" s="6" t="n">
        <v>0</v>
      </c>
      <c r="H78" s="6" t="n">
        <v>0</v>
      </c>
      <c r="I78" s="7">
        <f>G78/80</f>
        <v/>
      </c>
      <c r="J78" s="6" t="n">
        <v>390</v>
      </c>
      <c r="K78" s="6" t="n">
        <v>200</v>
      </c>
      <c r="L78" s="6" t="n">
        <v>110</v>
      </c>
      <c r="M78" s="6" t="n">
        <v>160</v>
      </c>
      <c r="N78" s="6" t="inlineStr">
        <is>
          <t>STRIKE 2 · ACTIVATION</t>
        </is>
      </c>
      <c r="O78" s="6" t="inlineStr"/>
      <c r="P78" s="16" t="inlineStr">
        <is>
          <t>f8 · 100% · under</t>
        </is>
      </c>
      <c r="Q78" s="6" t="inlineStr"/>
      <c r="R78" s="6" t="inlineStr"/>
      <c r="S78" s="6" t="inlineStr"/>
      <c r="T78" s="6" t="n">
        <v>0</v>
      </c>
      <c r="U78" s="6" t="n">
        <v>0</v>
      </c>
      <c r="V78" s="6" t="inlineStr">
        <is>
          <t>C23 · loop หยุดทันที · burst เกิด</t>
        </is>
      </c>
    </row>
    <row r="79">
      <c r="A79" s="17" t="n">
        <v>77</v>
      </c>
      <c r="B79" s="18">
        <f>A79*1000/60</f>
        <v/>
      </c>
      <c r="C79" s="17" t="inlineStr">
        <is>
          <t>E ระเบิดวง + ดาเมจ/ดีบัฟ</t>
        </is>
      </c>
      <c r="D79" s="17" t="inlineStr">
        <is>
          <t>C23</t>
        </is>
      </c>
      <c r="E79" s="17" t="inlineStr">
        <is>
          <t>S2 clip 22</t>
        </is>
      </c>
      <c r="F79" s="17" t="n">
        <v>1</v>
      </c>
      <c r="G79" s="6" t="n">
        <v>0</v>
      </c>
      <c r="H79" s="6" t="n">
        <v>0</v>
      </c>
      <c r="I79" s="7">
        <f>G79/80</f>
        <v/>
      </c>
      <c r="J79" s="6" t="n">
        <v>390</v>
      </c>
      <c r="K79" s="6" t="n">
        <v>200</v>
      </c>
      <c r="L79" s="6" t="n">
        <v>110</v>
      </c>
      <c r="M79" s="6" t="n">
        <v>160</v>
      </c>
      <c r="N79" s="6" t="inlineStr"/>
      <c r="O79" s="6" t="inlineStr"/>
      <c r="P79" s="6" t="inlineStr"/>
      <c r="Q79" s="19" t="inlineStr">
        <is>
          <t>f1 · 100% · under</t>
        </is>
      </c>
      <c r="R79" s="13" t="inlineStr">
        <is>
          <t>f1 · 100% · over</t>
        </is>
      </c>
      <c r="S79" s="6" t="inlineStr"/>
      <c r="T79" s="6" t="n">
        <v>0</v>
      </c>
      <c r="U79" s="6" t="n">
        <v>0</v>
      </c>
      <c r="V79" s="6" t="inlineStr"/>
    </row>
    <row r="80">
      <c r="A80" s="17" t="n">
        <v>78</v>
      </c>
      <c r="B80" s="18">
        <f>A80*1000/60</f>
        <v/>
      </c>
      <c r="C80" s="17" t="inlineStr">
        <is>
          <t>E ระเบิดวง + ดาเมจ/ดีบัฟ</t>
        </is>
      </c>
      <c r="D80" s="17" t="inlineStr">
        <is>
          <t>C23</t>
        </is>
      </c>
      <c r="E80" s="17" t="inlineStr">
        <is>
          <t>S2 clip 22</t>
        </is>
      </c>
      <c r="F80" s="17" t="n">
        <v>2</v>
      </c>
      <c r="G80" s="6" t="n">
        <v>0</v>
      </c>
      <c r="H80" s="6" t="n">
        <v>0</v>
      </c>
      <c r="I80" s="7">
        <f>G80/80</f>
        <v/>
      </c>
      <c r="J80" s="6" t="n">
        <v>390</v>
      </c>
      <c r="K80" s="6" t="n">
        <v>200</v>
      </c>
      <c r="L80" s="6" t="n">
        <v>110</v>
      </c>
      <c r="M80" s="6" t="n">
        <v>160</v>
      </c>
      <c r="N80" s="6" t="inlineStr"/>
      <c r="O80" s="6" t="inlineStr"/>
      <c r="P80" s="6" t="inlineStr"/>
      <c r="Q80" s="19" t="inlineStr">
        <is>
          <t>f1 · 100% · under</t>
        </is>
      </c>
      <c r="R80" s="13" t="inlineStr">
        <is>
          <t>f1 · 100% · over</t>
        </is>
      </c>
      <c r="S80" s="6" t="inlineStr"/>
      <c r="T80" s="6" t="n">
        <v>0</v>
      </c>
      <c r="U80" s="6" t="n">
        <v>0</v>
      </c>
      <c r="V80" s="6" t="inlineStr"/>
    </row>
    <row r="81">
      <c r="A81" s="17" t="n">
        <v>79</v>
      </c>
      <c r="B81" s="18">
        <f>A81*1000/60</f>
        <v/>
      </c>
      <c r="C81" s="17" t="inlineStr">
        <is>
          <t>E ระเบิดวง + ดาเมจ/ดีบัฟ</t>
        </is>
      </c>
      <c r="D81" s="17" t="inlineStr">
        <is>
          <t>C23</t>
        </is>
      </c>
      <c r="E81" s="17" t="inlineStr">
        <is>
          <t>S2 clip 22</t>
        </is>
      </c>
      <c r="F81" s="17" t="n">
        <v>3</v>
      </c>
      <c r="G81" s="6" t="n">
        <v>0</v>
      </c>
      <c r="H81" s="6" t="n">
        <v>0</v>
      </c>
      <c r="I81" s="7">
        <f>G81/80</f>
        <v/>
      </c>
      <c r="J81" s="6" t="n">
        <v>390</v>
      </c>
      <c r="K81" s="6" t="n">
        <v>200</v>
      </c>
      <c r="L81" s="6" t="n">
        <v>110</v>
      </c>
      <c r="M81" s="6" t="n">
        <v>160</v>
      </c>
      <c r="N81" s="6" t="inlineStr"/>
      <c r="O81" s="6" t="inlineStr"/>
      <c r="P81" s="6" t="inlineStr"/>
      <c r="Q81" s="19" t="inlineStr">
        <is>
          <t>f1 · 100% · under</t>
        </is>
      </c>
      <c r="R81" s="13" t="inlineStr">
        <is>
          <t>f2 · 100% · over</t>
        </is>
      </c>
      <c r="S81" s="6" t="inlineStr"/>
      <c r="T81" s="6" t="n">
        <v>0</v>
      </c>
      <c r="U81" s="6" t="n">
        <v>0</v>
      </c>
      <c r="V81" s="6" t="inlineStr"/>
    </row>
    <row r="82">
      <c r="A82" s="17" t="n">
        <v>80</v>
      </c>
      <c r="B82" s="18">
        <f>A82*1000/60</f>
        <v/>
      </c>
      <c r="C82" s="17" t="inlineStr">
        <is>
          <t>E ระเบิดวง + ดาเมจ/ดีบัฟ</t>
        </is>
      </c>
      <c r="D82" s="17" t="inlineStr">
        <is>
          <t>C23</t>
        </is>
      </c>
      <c r="E82" s="17" t="inlineStr">
        <is>
          <t>S2 clip 22</t>
        </is>
      </c>
      <c r="F82" s="17" t="n">
        <v>4</v>
      </c>
      <c r="G82" s="6" t="n">
        <v>0</v>
      </c>
      <c r="H82" s="6" t="n">
        <v>0</v>
      </c>
      <c r="I82" s="7">
        <f>G82/80</f>
        <v/>
      </c>
      <c r="J82" s="6" t="n">
        <v>390</v>
      </c>
      <c r="K82" s="6" t="n">
        <v>200</v>
      </c>
      <c r="L82" s="6" t="n">
        <v>110</v>
      </c>
      <c r="M82" s="6" t="n">
        <v>160</v>
      </c>
      <c r="N82" s="6" t="inlineStr"/>
      <c r="O82" s="6" t="inlineStr"/>
      <c r="P82" s="6" t="inlineStr"/>
      <c r="Q82" s="19" t="inlineStr">
        <is>
          <t>f2 · 100% · under</t>
        </is>
      </c>
      <c r="R82" s="13" t="inlineStr">
        <is>
          <t>f2 · 100% · over</t>
        </is>
      </c>
      <c r="S82" s="6" t="inlineStr"/>
      <c r="T82" s="6" t="n">
        <v>0</v>
      </c>
      <c r="U82" s="6" t="n">
        <v>0</v>
      </c>
      <c r="V82" s="6" t="inlineStr"/>
    </row>
    <row r="83">
      <c r="A83" s="17" t="n">
        <v>81</v>
      </c>
      <c r="B83" s="18">
        <f>A83*1000/60</f>
        <v/>
      </c>
      <c r="C83" s="17" t="inlineStr">
        <is>
          <t>E ระเบิดวง + ดาเมจ/ดีบัฟ</t>
        </is>
      </c>
      <c r="D83" s="17" t="inlineStr">
        <is>
          <t>C23</t>
        </is>
      </c>
      <c r="E83" s="17" t="inlineStr">
        <is>
          <t>S2 clip 22</t>
        </is>
      </c>
      <c r="F83" s="17" t="n">
        <v>5</v>
      </c>
      <c r="G83" s="6" t="n">
        <v>0</v>
      </c>
      <c r="H83" s="6" t="n">
        <v>0</v>
      </c>
      <c r="I83" s="7">
        <f>G83/80</f>
        <v/>
      </c>
      <c r="J83" s="6" t="n">
        <v>390</v>
      </c>
      <c r="K83" s="6" t="n">
        <v>200</v>
      </c>
      <c r="L83" s="6" t="n">
        <v>110</v>
      </c>
      <c r="M83" s="6" t="n">
        <v>160</v>
      </c>
      <c r="N83" s="6" t="inlineStr"/>
      <c r="O83" s="6" t="inlineStr"/>
      <c r="P83" s="6" t="inlineStr"/>
      <c r="Q83" s="19" t="inlineStr">
        <is>
          <t>f2 · 100% · under</t>
        </is>
      </c>
      <c r="R83" s="13" t="inlineStr">
        <is>
          <t>f3 · 100% · over</t>
        </is>
      </c>
      <c r="S83" s="6" t="inlineStr"/>
      <c r="T83" s="6" t="n">
        <v>0</v>
      </c>
      <c r="U83" s="6" t="n">
        <v>0</v>
      </c>
      <c r="V83" s="6" t="inlineStr"/>
    </row>
    <row r="84">
      <c r="A84" s="20" t="n">
        <v>82</v>
      </c>
      <c r="B84" s="21">
        <f>A84*1000/60</f>
        <v/>
      </c>
      <c r="C84" s="20" t="inlineStr">
        <is>
          <t>E ระเบิดวง + ดาเมจ/ดีบัฟ</t>
        </is>
      </c>
      <c r="D84" s="20" t="inlineStr">
        <is>
          <t>C23</t>
        </is>
      </c>
      <c r="E84" s="20" t="inlineStr">
        <is>
          <t>S2 clip 22</t>
        </is>
      </c>
      <c r="F84" s="20" t="n">
        <v>6</v>
      </c>
      <c r="G84" s="22" t="n">
        <v>0</v>
      </c>
      <c r="H84" s="22" t="n">
        <v>0</v>
      </c>
      <c r="I84" s="23">
        <f>G84/80</f>
        <v/>
      </c>
      <c r="J84" s="22" t="n">
        <v>390</v>
      </c>
      <c r="K84" s="22" t="n">
        <v>200</v>
      </c>
      <c r="L84" s="22" t="n">
        <v>110</v>
      </c>
      <c r="M84" s="22" t="n">
        <v>160</v>
      </c>
      <c r="N84" s="22" t="inlineStr">
        <is>
          <t>DAMAGE (magic AoE) / SLOW · ATK/CAST DOWN · ROOT*</t>
        </is>
      </c>
      <c r="O84" s="22" t="inlineStr"/>
      <c r="P84" s="22" t="inlineStr"/>
      <c r="Q84" s="24" t="inlineStr">
        <is>
          <t>f2 · 100% · under</t>
        </is>
      </c>
      <c r="R84" s="25" t="inlineStr">
        <is>
          <t>f3 · 100% · over</t>
        </is>
      </c>
      <c r="S84" s="22" t="inlineStr"/>
      <c r="T84" s="22" t="n">
        <v>0</v>
      </c>
      <c r="U84" s="22" t="n">
        <v>0</v>
      </c>
      <c r="V84" s="22" t="inlineStr">
        <is>
          <t>burst peak f3 / *เฉพาะเป้าที่ติด Hex Mark</t>
        </is>
      </c>
    </row>
    <row r="85">
      <c r="A85" s="17" t="n">
        <v>83</v>
      </c>
      <c r="B85" s="18">
        <f>A85*1000/60</f>
        <v/>
      </c>
      <c r="C85" s="17" t="inlineStr">
        <is>
          <t>E ระเบิดวง + ดาเมจ/ดีบัฟ</t>
        </is>
      </c>
      <c r="D85" s="17" t="inlineStr">
        <is>
          <t>C24</t>
        </is>
      </c>
      <c r="E85" s="17" t="inlineStr">
        <is>
          <t>S2 clip 23</t>
        </is>
      </c>
      <c r="F85" s="17" t="n">
        <v>1</v>
      </c>
      <c r="G85" s="6" t="n">
        <v>0</v>
      </c>
      <c r="H85" s="6" t="n">
        <v>0</v>
      </c>
      <c r="I85" s="7">
        <f>G85/80</f>
        <v/>
      </c>
      <c r="J85" s="6" t="n">
        <v>390</v>
      </c>
      <c r="K85" s="6" t="n">
        <v>200</v>
      </c>
      <c r="L85" s="6" t="n">
        <v>110</v>
      </c>
      <c r="M85" s="6" t="n">
        <v>160</v>
      </c>
      <c r="N85" s="6" t="inlineStr"/>
      <c r="O85" s="6" t="inlineStr"/>
      <c r="P85" s="6" t="inlineStr"/>
      <c r="Q85" s="19" t="inlineStr">
        <is>
          <t>f3 · 100% · under</t>
        </is>
      </c>
      <c r="R85" s="13" t="inlineStr">
        <is>
          <t>f4 · 100% · over</t>
        </is>
      </c>
      <c r="S85" s="6" t="inlineStr"/>
      <c r="T85" s="6" t="n">
        <v>0</v>
      </c>
      <c r="U85" s="6" t="n">
        <v>0</v>
      </c>
      <c r="V85" s="6" t="inlineStr"/>
    </row>
    <row r="86">
      <c r="A86" s="17" t="n">
        <v>84</v>
      </c>
      <c r="B86" s="18">
        <f>A86*1000/60</f>
        <v/>
      </c>
      <c r="C86" s="17" t="inlineStr">
        <is>
          <t>E ระเบิดวง + ดาเมจ/ดีบัฟ</t>
        </is>
      </c>
      <c r="D86" s="17" t="inlineStr">
        <is>
          <t>C24</t>
        </is>
      </c>
      <c r="E86" s="17" t="inlineStr">
        <is>
          <t>S2 clip 23</t>
        </is>
      </c>
      <c r="F86" s="17" t="n">
        <v>2</v>
      </c>
      <c r="G86" s="6" t="n">
        <v>0</v>
      </c>
      <c r="H86" s="6" t="n">
        <v>0</v>
      </c>
      <c r="I86" s="7">
        <f>G86/80</f>
        <v/>
      </c>
      <c r="J86" s="6" t="n">
        <v>390</v>
      </c>
      <c r="K86" s="6" t="n">
        <v>200</v>
      </c>
      <c r="L86" s="6" t="n">
        <v>110</v>
      </c>
      <c r="M86" s="6" t="n">
        <v>160</v>
      </c>
      <c r="N86" s="6" t="inlineStr"/>
      <c r="O86" s="6" t="inlineStr"/>
      <c r="P86" s="6" t="inlineStr"/>
      <c r="Q86" s="19" t="inlineStr">
        <is>
          <t>f3 · 100% · under</t>
        </is>
      </c>
      <c r="R86" s="13" t="inlineStr">
        <is>
          <t>f4 · 100% · over</t>
        </is>
      </c>
      <c r="S86" s="6" t="inlineStr"/>
      <c r="T86" s="6" t="n">
        <v>0</v>
      </c>
      <c r="U86" s="6" t="n">
        <v>0</v>
      </c>
      <c r="V86" s="6" t="inlineStr"/>
    </row>
    <row r="87">
      <c r="A87" s="17" t="n">
        <v>85</v>
      </c>
      <c r="B87" s="18">
        <f>A87*1000/60</f>
        <v/>
      </c>
      <c r="C87" s="17" t="inlineStr">
        <is>
          <t>E ระเบิดวง + ดาเมจ/ดีบัฟ</t>
        </is>
      </c>
      <c r="D87" s="17" t="inlineStr">
        <is>
          <t>C24</t>
        </is>
      </c>
      <c r="E87" s="17" t="inlineStr">
        <is>
          <t>S2 clip 23</t>
        </is>
      </c>
      <c r="F87" s="17" t="n">
        <v>3</v>
      </c>
      <c r="G87" s="6" t="n">
        <v>0</v>
      </c>
      <c r="H87" s="6" t="n">
        <v>0</v>
      </c>
      <c r="I87" s="7">
        <f>G87/80</f>
        <v/>
      </c>
      <c r="J87" s="6" t="n">
        <v>390</v>
      </c>
      <c r="K87" s="6" t="n">
        <v>200</v>
      </c>
      <c r="L87" s="6" t="n">
        <v>110</v>
      </c>
      <c r="M87" s="6" t="n">
        <v>160</v>
      </c>
      <c r="N87" s="6" t="inlineStr"/>
      <c r="O87" s="6" t="inlineStr"/>
      <c r="P87" s="6" t="inlineStr"/>
      <c r="Q87" s="19" t="inlineStr">
        <is>
          <t>f3 · 100% · under</t>
        </is>
      </c>
      <c r="R87" s="13" t="inlineStr">
        <is>
          <t>f5 · 100% · over</t>
        </is>
      </c>
      <c r="S87" s="6" t="inlineStr"/>
      <c r="T87" s="6" t="n">
        <v>0</v>
      </c>
      <c r="U87" s="6" t="n">
        <v>0</v>
      </c>
      <c r="V87" s="6" t="inlineStr"/>
    </row>
    <row r="88">
      <c r="A88" s="17" t="n">
        <v>86</v>
      </c>
      <c r="B88" s="18">
        <f>A88*1000/60</f>
        <v/>
      </c>
      <c r="C88" s="17" t="inlineStr">
        <is>
          <t>E ระเบิดวง + ดาเมจ/ดีบัฟ</t>
        </is>
      </c>
      <c r="D88" s="17" t="inlineStr">
        <is>
          <t>C24</t>
        </is>
      </c>
      <c r="E88" s="17" t="inlineStr">
        <is>
          <t>S2 clip 23</t>
        </is>
      </c>
      <c r="F88" s="17" t="n">
        <v>4</v>
      </c>
      <c r="G88" s="6" t="n">
        <v>0</v>
      </c>
      <c r="H88" s="6" t="n">
        <v>0</v>
      </c>
      <c r="I88" s="7">
        <f>G88/80</f>
        <v/>
      </c>
      <c r="J88" s="6" t="n">
        <v>390</v>
      </c>
      <c r="K88" s="6" t="n">
        <v>200</v>
      </c>
      <c r="L88" s="6" t="n">
        <v>110</v>
      </c>
      <c r="M88" s="6" t="n">
        <v>160</v>
      </c>
      <c r="N88" s="6" t="inlineStr"/>
      <c r="O88" s="6" t="inlineStr"/>
      <c r="P88" s="6" t="inlineStr"/>
      <c r="Q88" s="19" t="inlineStr">
        <is>
          <t>f4 · 100% · under</t>
        </is>
      </c>
      <c r="R88" s="13" t="inlineStr">
        <is>
          <t>f5 · 100% · over</t>
        </is>
      </c>
      <c r="S88" s="6" t="inlineStr"/>
      <c r="T88" s="6" t="n">
        <v>0</v>
      </c>
      <c r="U88" s="6" t="n">
        <v>0</v>
      </c>
      <c r="V88" s="6" t="inlineStr"/>
    </row>
    <row r="89">
      <c r="A89" s="17" t="n">
        <v>87</v>
      </c>
      <c r="B89" s="18">
        <f>A89*1000/60</f>
        <v/>
      </c>
      <c r="C89" s="17" t="inlineStr">
        <is>
          <t>E ระเบิดวง + ดาเมจ/ดีบัฟ</t>
        </is>
      </c>
      <c r="D89" s="17" t="inlineStr">
        <is>
          <t>C24</t>
        </is>
      </c>
      <c r="E89" s="17" t="inlineStr">
        <is>
          <t>S2 clip 23</t>
        </is>
      </c>
      <c r="F89" s="17" t="n">
        <v>5</v>
      </c>
      <c r="G89" s="6" t="n">
        <v>0</v>
      </c>
      <c r="H89" s="6" t="n">
        <v>0</v>
      </c>
      <c r="I89" s="7">
        <f>G89/80</f>
        <v/>
      </c>
      <c r="J89" s="6" t="n">
        <v>390</v>
      </c>
      <c r="K89" s="6" t="n">
        <v>200</v>
      </c>
      <c r="L89" s="6" t="n">
        <v>110</v>
      </c>
      <c r="M89" s="6" t="n">
        <v>160</v>
      </c>
      <c r="N89" s="6" t="inlineStr"/>
      <c r="O89" s="6" t="inlineStr"/>
      <c r="P89" s="6" t="inlineStr"/>
      <c r="Q89" s="19" t="inlineStr">
        <is>
          <t>f4 · 100% · under</t>
        </is>
      </c>
      <c r="R89" s="13" t="inlineStr">
        <is>
          <t>f6 · 100% · over</t>
        </is>
      </c>
      <c r="S89" s="6" t="inlineStr"/>
      <c r="T89" s="6" t="n">
        <v>0</v>
      </c>
      <c r="U89" s="6" t="n">
        <v>0</v>
      </c>
      <c r="V89" s="6" t="inlineStr"/>
    </row>
    <row r="90">
      <c r="A90" s="26" t="n">
        <v>88</v>
      </c>
      <c r="B90" s="27">
        <f>A90*1000/60</f>
        <v/>
      </c>
      <c r="C90" s="26" t="inlineStr">
        <is>
          <t>F burst จางจนหมด · กลับท่ายืน</t>
        </is>
      </c>
      <c r="D90" s="26" t="inlineStr">
        <is>
          <t>C25</t>
        </is>
      </c>
      <c r="E90" s="26" t="inlineStr">
        <is>
          <t>S2 clip 24</t>
        </is>
      </c>
      <c r="F90" s="26" t="n">
        <v>1</v>
      </c>
      <c r="G90" s="6" t="n">
        <v>0</v>
      </c>
      <c r="H90" s="6" t="n">
        <v>0</v>
      </c>
      <c r="I90" s="7">
        <f>G90/80</f>
        <v/>
      </c>
      <c r="J90" s="6" t="n">
        <v>390</v>
      </c>
      <c r="K90" s="6" t="n">
        <v>200</v>
      </c>
      <c r="L90" s="6" t="n">
        <v>110</v>
      </c>
      <c r="M90" s="6" t="n">
        <v>160</v>
      </c>
      <c r="N90" s="6" t="inlineStr">
        <is>
          <t>RECOVERY_START</t>
        </is>
      </c>
      <c r="O90" s="6" t="inlineStr"/>
      <c r="P90" s="6" t="inlineStr"/>
      <c r="Q90" s="19" t="inlineStr">
        <is>
          <t>f4 · 100% · under</t>
        </is>
      </c>
      <c r="R90" s="13" t="inlineStr">
        <is>
          <t>f6 · 100% · over</t>
        </is>
      </c>
      <c r="S90" s="6" t="inlineStr"/>
      <c r="T90" s="6" t="n">
        <v>0</v>
      </c>
      <c r="U90" s="6" t="n">
        <v>0</v>
      </c>
      <c r="V90" s="6" t="inlineStr">
        <is>
          <t>C25</t>
        </is>
      </c>
    </row>
    <row r="91">
      <c r="A91" s="26" t="n">
        <v>89</v>
      </c>
      <c r="B91" s="27">
        <f>A91*1000/60</f>
        <v/>
      </c>
      <c r="C91" s="26" t="inlineStr">
        <is>
          <t>F burst จางจนหมด · กลับท่ายืน</t>
        </is>
      </c>
      <c r="D91" s="26" t="inlineStr">
        <is>
          <t>C25</t>
        </is>
      </c>
      <c r="E91" s="26" t="inlineStr">
        <is>
          <t>S2 clip 24</t>
        </is>
      </c>
      <c r="F91" s="26" t="n">
        <v>2</v>
      </c>
      <c r="G91" s="6" t="n">
        <v>0</v>
      </c>
      <c r="H91" s="6" t="n">
        <v>0</v>
      </c>
      <c r="I91" s="7">
        <f>G91/80</f>
        <v/>
      </c>
      <c r="J91" s="6" t="n">
        <v>390</v>
      </c>
      <c r="K91" s="6" t="n">
        <v>200</v>
      </c>
      <c r="L91" s="6" t="n">
        <v>110</v>
      </c>
      <c r="M91" s="6" t="n">
        <v>160</v>
      </c>
      <c r="N91" s="6" t="inlineStr"/>
      <c r="O91" s="6" t="inlineStr"/>
      <c r="P91" s="6" t="inlineStr"/>
      <c r="Q91" s="19" t="inlineStr">
        <is>
          <t>f5 · 100% · under</t>
        </is>
      </c>
      <c r="R91" s="13" t="inlineStr">
        <is>
          <t>f7 · 100% · over</t>
        </is>
      </c>
      <c r="S91" s="6" t="inlineStr"/>
      <c r="T91" s="6" t="n">
        <v>0</v>
      </c>
      <c r="U91" s="6" t="n">
        <v>0</v>
      </c>
      <c r="V91" s="6" t="inlineStr"/>
    </row>
    <row r="92">
      <c r="A92" s="26" t="n">
        <v>90</v>
      </c>
      <c r="B92" s="27">
        <f>A92*1000/60</f>
        <v/>
      </c>
      <c r="C92" s="26" t="inlineStr">
        <is>
          <t>F burst จางจนหมด · กลับท่ายืน</t>
        </is>
      </c>
      <c r="D92" s="26" t="inlineStr">
        <is>
          <t>C25</t>
        </is>
      </c>
      <c r="E92" s="26" t="inlineStr">
        <is>
          <t>S2 clip 24</t>
        </is>
      </c>
      <c r="F92" s="26" t="n">
        <v>3</v>
      </c>
      <c r="G92" s="6" t="n">
        <v>0</v>
      </c>
      <c r="H92" s="6" t="n">
        <v>0</v>
      </c>
      <c r="I92" s="7">
        <f>G92/80</f>
        <v/>
      </c>
      <c r="J92" s="6" t="n">
        <v>390</v>
      </c>
      <c r="K92" s="6" t="n">
        <v>200</v>
      </c>
      <c r="L92" s="6" t="n">
        <v>110</v>
      </c>
      <c r="M92" s="6" t="n">
        <v>160</v>
      </c>
      <c r="N92" s="6" t="inlineStr"/>
      <c r="O92" s="6" t="inlineStr"/>
      <c r="P92" s="6" t="inlineStr"/>
      <c r="Q92" s="19" t="inlineStr">
        <is>
          <t>f5 · 100% · under</t>
        </is>
      </c>
      <c r="R92" s="13" t="inlineStr">
        <is>
          <t>f7 · 100% · over</t>
        </is>
      </c>
      <c r="S92" s="6" t="inlineStr"/>
      <c r="T92" s="6" t="n">
        <v>0</v>
      </c>
      <c r="U92" s="6" t="n">
        <v>0</v>
      </c>
      <c r="V92" s="6" t="inlineStr"/>
    </row>
    <row r="93">
      <c r="A93" s="26" t="n">
        <v>91</v>
      </c>
      <c r="B93" s="27">
        <f>A93*1000/60</f>
        <v/>
      </c>
      <c r="C93" s="26" t="inlineStr">
        <is>
          <t>F burst จางจนหมด · กลับท่ายืน</t>
        </is>
      </c>
      <c r="D93" s="26" t="inlineStr">
        <is>
          <t>C25</t>
        </is>
      </c>
      <c r="E93" s="26" t="inlineStr">
        <is>
          <t>S2 clip 24</t>
        </is>
      </c>
      <c r="F93" s="26" t="n">
        <v>4</v>
      </c>
      <c r="G93" s="6" t="n">
        <v>0</v>
      </c>
      <c r="H93" s="6" t="n">
        <v>0</v>
      </c>
      <c r="I93" s="7">
        <f>G93/80</f>
        <v/>
      </c>
      <c r="J93" s="6" t="n">
        <v>390</v>
      </c>
      <c r="K93" s="6" t="n">
        <v>200</v>
      </c>
      <c r="L93" s="6" t="n">
        <v>110</v>
      </c>
      <c r="M93" s="6" t="n">
        <v>160</v>
      </c>
      <c r="N93" s="6" t="inlineStr"/>
      <c r="O93" s="6" t="inlineStr"/>
      <c r="P93" s="6" t="inlineStr"/>
      <c r="Q93" s="19" t="inlineStr">
        <is>
          <t>f5 · 100% · under</t>
        </is>
      </c>
      <c r="R93" s="13" t="inlineStr">
        <is>
          <t>f7 · 100% · over</t>
        </is>
      </c>
      <c r="S93" s="6" t="inlineStr"/>
      <c r="T93" s="6" t="n">
        <v>0</v>
      </c>
      <c r="U93" s="6" t="n">
        <v>0</v>
      </c>
      <c r="V93" s="6" t="inlineStr"/>
    </row>
    <row r="94">
      <c r="A94" s="26" t="n">
        <v>92</v>
      </c>
      <c r="B94" s="27">
        <f>A94*1000/60</f>
        <v/>
      </c>
      <c r="C94" s="26" t="inlineStr">
        <is>
          <t>F burst จางจนหมด · กลับท่ายืน</t>
        </is>
      </c>
      <c r="D94" s="26" t="inlineStr">
        <is>
          <t>C26</t>
        </is>
      </c>
      <c r="E94" s="26" t="inlineStr">
        <is>
          <t>S2 clip 25</t>
        </is>
      </c>
      <c r="F94" s="26" t="n">
        <v>1</v>
      </c>
      <c r="G94" s="6" t="n">
        <v>0</v>
      </c>
      <c r="H94" s="6" t="n">
        <v>0</v>
      </c>
      <c r="I94" s="7">
        <f>G94/80</f>
        <v/>
      </c>
      <c r="J94" s="6" t="n">
        <v>390</v>
      </c>
      <c r="K94" s="6" t="n">
        <v>200</v>
      </c>
      <c r="L94" s="6" t="n">
        <v>110</v>
      </c>
      <c r="M94" s="6" t="n">
        <v>160</v>
      </c>
      <c r="N94" s="6" t="inlineStr"/>
      <c r="O94" s="6" t="inlineStr"/>
      <c r="P94" s="6" t="inlineStr"/>
      <c r="Q94" s="19" t="inlineStr">
        <is>
          <t>f6 · 100% · under</t>
        </is>
      </c>
      <c r="R94" s="13" t="inlineStr">
        <is>
          <t>f7 · 95% · over</t>
        </is>
      </c>
      <c r="S94" s="6" t="inlineStr"/>
      <c r="T94" s="6" t="n">
        <v>0</v>
      </c>
      <c r="U94" s="6" t="n">
        <v>0</v>
      </c>
      <c r="V94" s="6" t="inlineStr"/>
    </row>
    <row r="95">
      <c r="A95" s="26" t="n">
        <v>93</v>
      </c>
      <c r="B95" s="27">
        <f>A95*1000/60</f>
        <v/>
      </c>
      <c r="C95" s="26" t="inlineStr">
        <is>
          <t>F burst จางจนหมด · กลับท่ายืน</t>
        </is>
      </c>
      <c r="D95" s="26" t="inlineStr">
        <is>
          <t>C26</t>
        </is>
      </c>
      <c r="E95" s="26" t="inlineStr">
        <is>
          <t>S2 clip 25</t>
        </is>
      </c>
      <c r="F95" s="26" t="n">
        <v>2</v>
      </c>
      <c r="G95" s="6" t="n">
        <v>0</v>
      </c>
      <c r="H95" s="6" t="n">
        <v>0</v>
      </c>
      <c r="I95" s="7">
        <f>G95/80</f>
        <v/>
      </c>
      <c r="J95" s="6" t="n">
        <v>390</v>
      </c>
      <c r="K95" s="6" t="n">
        <v>200</v>
      </c>
      <c r="L95" s="6" t="n">
        <v>110</v>
      </c>
      <c r="M95" s="6" t="n">
        <v>160</v>
      </c>
      <c r="N95" s="6" t="inlineStr"/>
      <c r="O95" s="6" t="inlineStr"/>
      <c r="P95" s="6" t="inlineStr"/>
      <c r="Q95" s="19" t="inlineStr">
        <is>
          <t>f6 · 100% · under</t>
        </is>
      </c>
      <c r="R95" s="13" t="inlineStr">
        <is>
          <t>f7 · 81% · over</t>
        </is>
      </c>
      <c r="S95" s="6" t="inlineStr"/>
      <c r="T95" s="6" t="n">
        <v>0</v>
      </c>
      <c r="U95" s="6" t="n">
        <v>0</v>
      </c>
      <c r="V95" s="6" t="inlineStr"/>
    </row>
    <row r="96">
      <c r="A96" s="26" t="n">
        <v>94</v>
      </c>
      <c r="B96" s="27">
        <f>A96*1000/60</f>
        <v/>
      </c>
      <c r="C96" s="26" t="inlineStr">
        <is>
          <t>F burst จางจนหมด · กลับท่ายืน</t>
        </is>
      </c>
      <c r="D96" s="26" t="inlineStr">
        <is>
          <t>C26</t>
        </is>
      </c>
      <c r="E96" s="26" t="inlineStr">
        <is>
          <t>S2 clip 25</t>
        </is>
      </c>
      <c r="F96" s="26" t="n">
        <v>3</v>
      </c>
      <c r="G96" s="6" t="n">
        <v>0</v>
      </c>
      <c r="H96" s="6" t="n">
        <v>0</v>
      </c>
      <c r="I96" s="7">
        <f>G96/80</f>
        <v/>
      </c>
      <c r="J96" s="6" t="n">
        <v>390</v>
      </c>
      <c r="K96" s="6" t="n">
        <v>200</v>
      </c>
      <c r="L96" s="6" t="n">
        <v>110</v>
      </c>
      <c r="M96" s="6" t="n">
        <v>160</v>
      </c>
      <c r="N96" s="6" t="inlineStr"/>
      <c r="O96" s="6" t="inlineStr"/>
      <c r="P96" s="6" t="inlineStr"/>
      <c r="Q96" s="19" t="inlineStr">
        <is>
          <t>f6 · 100% · under</t>
        </is>
      </c>
      <c r="R96" s="13" t="inlineStr">
        <is>
          <t>f7 · 58% · over</t>
        </is>
      </c>
      <c r="S96" s="6" t="inlineStr"/>
      <c r="T96" s="6" t="n">
        <v>0</v>
      </c>
      <c r="U96" s="6" t="n">
        <v>0</v>
      </c>
      <c r="V96" s="6" t="inlineStr"/>
    </row>
    <row r="97">
      <c r="A97" s="26" t="n">
        <v>95</v>
      </c>
      <c r="B97" s="27">
        <f>A97*1000/60</f>
        <v/>
      </c>
      <c r="C97" s="26" t="inlineStr">
        <is>
          <t>F burst จางจนหมด · กลับท่ายืน</t>
        </is>
      </c>
      <c r="D97" s="26" t="inlineStr">
        <is>
          <t>C26</t>
        </is>
      </c>
      <c r="E97" s="26" t="inlineStr">
        <is>
          <t>S2 clip 25</t>
        </is>
      </c>
      <c r="F97" s="26" t="n">
        <v>4</v>
      </c>
      <c r="G97" s="6" t="n">
        <v>0</v>
      </c>
      <c r="H97" s="6" t="n">
        <v>0</v>
      </c>
      <c r="I97" s="7">
        <f>G97/80</f>
        <v/>
      </c>
      <c r="J97" s="6" t="n">
        <v>390</v>
      </c>
      <c r="K97" s="6" t="n">
        <v>200</v>
      </c>
      <c r="L97" s="6" t="n">
        <v>110</v>
      </c>
      <c r="M97" s="6" t="n">
        <v>160</v>
      </c>
      <c r="N97" s="6" t="inlineStr"/>
      <c r="O97" s="6" t="inlineStr"/>
      <c r="P97" s="6" t="inlineStr"/>
      <c r="Q97" s="19" t="inlineStr">
        <is>
          <t>f7 · 100% · under</t>
        </is>
      </c>
      <c r="R97" s="13" t="inlineStr">
        <is>
          <t>f7 · 27% · over</t>
        </is>
      </c>
      <c r="S97" s="6" t="inlineStr"/>
      <c r="T97" s="6" t="n">
        <v>0</v>
      </c>
      <c r="U97" s="6" t="n">
        <v>0</v>
      </c>
      <c r="V97" s="6" t="inlineStr"/>
    </row>
    <row r="98">
      <c r="A98" s="26" t="n">
        <v>96</v>
      </c>
      <c r="B98" s="27">
        <f>A98*1000/60</f>
        <v/>
      </c>
      <c r="C98" s="26" t="inlineStr">
        <is>
          <t>F burst จางจนหมด · กลับท่ายืน</t>
        </is>
      </c>
      <c r="D98" s="26" t="inlineStr">
        <is>
          <t>C27</t>
        </is>
      </c>
      <c r="E98" s="26" t="inlineStr">
        <is>
          <t>S2 clip 26</t>
        </is>
      </c>
      <c r="F98" s="26" t="n">
        <v>1</v>
      </c>
      <c r="G98" s="6" t="n">
        <v>0</v>
      </c>
      <c r="H98" s="6" t="n">
        <v>0</v>
      </c>
      <c r="I98" s="7">
        <f>G98/80</f>
        <v/>
      </c>
      <c r="J98" s="6" t="n">
        <v>390</v>
      </c>
      <c r="K98" s="6" t="n">
        <v>200</v>
      </c>
      <c r="L98" s="6" t="n">
        <v>110</v>
      </c>
      <c r="M98" s="6" t="n">
        <v>160</v>
      </c>
      <c r="N98" s="6" t="inlineStr"/>
      <c r="O98" s="6" t="inlineStr"/>
      <c r="P98" s="6" t="inlineStr"/>
      <c r="Q98" s="19" t="inlineStr">
        <is>
          <t>f7 · 100% · under</t>
        </is>
      </c>
      <c r="R98" s="6" t="inlineStr"/>
      <c r="S98" s="6" t="inlineStr"/>
      <c r="T98" s="6" t="n">
        <v>0</v>
      </c>
      <c r="U98" s="6" t="n">
        <v>0</v>
      </c>
      <c r="V98" s="6" t="inlineStr"/>
    </row>
    <row r="99">
      <c r="A99" s="26" t="n">
        <v>97</v>
      </c>
      <c r="B99" s="27">
        <f>A99*1000/60</f>
        <v/>
      </c>
      <c r="C99" s="26" t="inlineStr">
        <is>
          <t>F burst จางจนหมด · กลับท่ายืน</t>
        </is>
      </c>
      <c r="D99" s="26" t="inlineStr">
        <is>
          <t>C27</t>
        </is>
      </c>
      <c r="E99" s="26" t="inlineStr">
        <is>
          <t>S2 clip 26</t>
        </is>
      </c>
      <c r="F99" s="26" t="n">
        <v>2</v>
      </c>
      <c r="G99" s="6" t="n">
        <v>0</v>
      </c>
      <c r="H99" s="6" t="n">
        <v>0</v>
      </c>
      <c r="I99" s="7">
        <f>G99/80</f>
        <v/>
      </c>
      <c r="J99" s="6" t="n">
        <v>390</v>
      </c>
      <c r="K99" s="6" t="n">
        <v>200</v>
      </c>
      <c r="L99" s="6" t="n">
        <v>110</v>
      </c>
      <c r="M99" s="6" t="n">
        <v>160</v>
      </c>
      <c r="N99" s="6" t="inlineStr"/>
      <c r="O99" s="6" t="inlineStr"/>
      <c r="P99" s="6" t="inlineStr"/>
      <c r="Q99" s="19" t="inlineStr">
        <is>
          <t>f7 · 100% · under</t>
        </is>
      </c>
      <c r="R99" s="6" t="inlineStr"/>
      <c r="S99" s="6" t="inlineStr"/>
      <c r="T99" s="6" t="n">
        <v>0</v>
      </c>
      <c r="U99" s="6" t="n">
        <v>0</v>
      </c>
      <c r="V99" s="6" t="inlineStr"/>
    </row>
    <row r="100">
      <c r="A100" s="26" t="n">
        <v>98</v>
      </c>
      <c r="B100" s="27">
        <f>A100*1000/60</f>
        <v/>
      </c>
      <c r="C100" s="26" t="inlineStr">
        <is>
          <t>F burst จางจนหมด · กลับท่ายืน</t>
        </is>
      </c>
      <c r="D100" s="26" t="inlineStr">
        <is>
          <t>C27</t>
        </is>
      </c>
      <c r="E100" s="26" t="inlineStr">
        <is>
          <t>S2 clip 26</t>
        </is>
      </c>
      <c r="F100" s="26" t="n">
        <v>3</v>
      </c>
      <c r="G100" s="6" t="n">
        <v>0</v>
      </c>
      <c r="H100" s="6" t="n">
        <v>0</v>
      </c>
      <c r="I100" s="7">
        <f>G100/80</f>
        <v/>
      </c>
      <c r="J100" s="6" t="n">
        <v>390</v>
      </c>
      <c r="K100" s="6" t="n">
        <v>200</v>
      </c>
      <c r="L100" s="6" t="n">
        <v>110</v>
      </c>
      <c r="M100" s="6" t="n">
        <v>160</v>
      </c>
      <c r="N100" s="6" t="inlineStr"/>
      <c r="O100" s="6" t="inlineStr"/>
      <c r="P100" s="6" t="inlineStr"/>
      <c r="Q100" s="19" t="inlineStr">
        <is>
          <t>f8 · 100% · under</t>
        </is>
      </c>
      <c r="R100" s="6" t="inlineStr"/>
      <c r="S100" s="6" t="inlineStr"/>
      <c r="T100" s="6" t="n">
        <v>0</v>
      </c>
      <c r="U100" s="6" t="n">
        <v>0</v>
      </c>
      <c r="V100" s="6" t="inlineStr"/>
    </row>
    <row r="101">
      <c r="A101" s="26" t="n">
        <v>99</v>
      </c>
      <c r="B101" s="27">
        <f>A101*1000/60</f>
        <v/>
      </c>
      <c r="C101" s="26" t="inlineStr">
        <is>
          <t>F burst จางจนหมด · กลับท่ายืน</t>
        </is>
      </c>
      <c r="D101" s="26" t="inlineStr">
        <is>
          <t>C27</t>
        </is>
      </c>
      <c r="E101" s="26" t="inlineStr">
        <is>
          <t>S2 clip 26</t>
        </is>
      </c>
      <c r="F101" s="26" t="n">
        <v>4</v>
      </c>
      <c r="G101" s="6" t="n">
        <v>0</v>
      </c>
      <c r="H101" s="6" t="n">
        <v>0</v>
      </c>
      <c r="I101" s="7">
        <f>G101/80</f>
        <v/>
      </c>
      <c r="J101" s="6" t="n">
        <v>390</v>
      </c>
      <c r="K101" s="6" t="n">
        <v>200</v>
      </c>
      <c r="L101" s="6" t="n">
        <v>110</v>
      </c>
      <c r="M101" s="6" t="n">
        <v>160</v>
      </c>
      <c r="N101" s="6" t="inlineStr"/>
      <c r="O101" s="6" t="inlineStr"/>
      <c r="P101" s="6" t="inlineStr"/>
      <c r="Q101" s="19" t="inlineStr">
        <is>
          <t>f8 · 100% · under</t>
        </is>
      </c>
      <c r="R101" s="6" t="inlineStr"/>
      <c r="S101" s="6" t="inlineStr"/>
      <c r="T101" s="6" t="n">
        <v>0</v>
      </c>
      <c r="U101" s="6" t="n">
        <v>0</v>
      </c>
      <c r="V101" s="6" t="inlineStr"/>
    </row>
    <row r="102">
      <c r="A102" s="26" t="n">
        <v>100</v>
      </c>
      <c r="B102" s="27">
        <f>A102*1000/60</f>
        <v/>
      </c>
      <c r="C102" s="26" t="inlineStr">
        <is>
          <t>F burst จางจนหมด · กลับท่ายืน</t>
        </is>
      </c>
      <c r="D102" s="26" t="inlineStr">
        <is>
          <t>C27</t>
        </is>
      </c>
      <c r="E102" s="26" t="inlineStr">
        <is>
          <t>S2 clip 26</t>
        </is>
      </c>
      <c r="F102" s="26" t="n">
        <v>5</v>
      </c>
      <c r="G102" s="6" t="n">
        <v>0</v>
      </c>
      <c r="H102" s="6" t="n">
        <v>0</v>
      </c>
      <c r="I102" s="7">
        <f>G102/80</f>
        <v/>
      </c>
      <c r="J102" s="6" t="n">
        <v>390</v>
      </c>
      <c r="K102" s="6" t="n">
        <v>200</v>
      </c>
      <c r="L102" s="6" t="n">
        <v>110</v>
      </c>
      <c r="M102" s="6" t="n">
        <v>160</v>
      </c>
      <c r="N102" s="6" t="inlineStr"/>
      <c r="O102" s="6" t="inlineStr"/>
      <c r="P102" s="6" t="inlineStr"/>
      <c r="Q102" s="19" t="inlineStr">
        <is>
          <t>f8 · 100% · under</t>
        </is>
      </c>
      <c r="R102" s="6" t="inlineStr"/>
      <c r="S102" s="6" t="inlineStr"/>
      <c r="T102" s="6" t="n">
        <v>0</v>
      </c>
      <c r="U102" s="6" t="n">
        <v>0</v>
      </c>
      <c r="V102" s="6" t="inlineStr"/>
    </row>
    <row r="103">
      <c r="A103" s="26" t="n">
        <v>101</v>
      </c>
      <c r="B103" s="27">
        <f>A103*1000/60</f>
        <v/>
      </c>
      <c r="C103" s="26" t="inlineStr">
        <is>
          <t>F burst จางจนหมด · กลับท่ายืน</t>
        </is>
      </c>
      <c r="D103" s="26" t="inlineStr">
        <is>
          <t>C28</t>
        </is>
      </c>
      <c r="E103" s="26" t="inlineStr">
        <is>
          <t>S2 clip 27</t>
        </is>
      </c>
      <c r="F103" s="26" t="n">
        <v>1</v>
      </c>
      <c r="G103" s="6" t="n">
        <v>0</v>
      </c>
      <c r="H103" s="6" t="n">
        <v>0</v>
      </c>
      <c r="I103" s="7">
        <f>G103/80</f>
        <v/>
      </c>
      <c r="J103" s="6" t="n">
        <v>390</v>
      </c>
      <c r="K103" s="6" t="n">
        <v>200</v>
      </c>
      <c r="L103" s="6" t="n">
        <v>110</v>
      </c>
      <c r="M103" s="6" t="n">
        <v>160</v>
      </c>
      <c r="N103" s="6" t="inlineStr"/>
      <c r="O103" s="6" t="inlineStr"/>
      <c r="P103" s="6" t="inlineStr"/>
      <c r="Q103" s="19" t="inlineStr">
        <is>
          <t>f8 · 99% · under</t>
        </is>
      </c>
      <c r="R103" s="6" t="inlineStr"/>
      <c r="S103" s="6" t="inlineStr"/>
      <c r="T103" s="6" t="n">
        <v>0</v>
      </c>
      <c r="U103" s="6" t="n">
        <v>0</v>
      </c>
      <c r="V103" s="6" t="inlineStr"/>
    </row>
    <row r="104">
      <c r="A104" s="26" t="n">
        <v>102</v>
      </c>
      <c r="B104" s="27">
        <f>A104*1000/60</f>
        <v/>
      </c>
      <c r="C104" s="26" t="inlineStr">
        <is>
          <t>F burst จางจนหมด · กลับท่ายืน</t>
        </is>
      </c>
      <c r="D104" s="26" t="inlineStr">
        <is>
          <t>C28</t>
        </is>
      </c>
      <c r="E104" s="26" t="inlineStr">
        <is>
          <t>S2 clip 27</t>
        </is>
      </c>
      <c r="F104" s="26" t="n">
        <v>2</v>
      </c>
      <c r="G104" s="6" t="n">
        <v>0</v>
      </c>
      <c r="H104" s="6" t="n">
        <v>0</v>
      </c>
      <c r="I104" s="7">
        <f>G104/80</f>
        <v/>
      </c>
      <c r="J104" s="6" t="n">
        <v>390</v>
      </c>
      <c r="K104" s="6" t="n">
        <v>200</v>
      </c>
      <c r="L104" s="6" t="n">
        <v>110</v>
      </c>
      <c r="M104" s="6" t="n">
        <v>160</v>
      </c>
      <c r="N104" s="6" t="inlineStr"/>
      <c r="O104" s="6" t="inlineStr"/>
      <c r="P104" s="6" t="inlineStr"/>
      <c r="Q104" s="19" t="inlineStr">
        <is>
          <t>f8 · 96% · under</t>
        </is>
      </c>
      <c r="R104" s="6" t="inlineStr"/>
      <c r="S104" s="6" t="inlineStr"/>
      <c r="T104" s="6" t="n">
        <v>0</v>
      </c>
      <c r="U104" s="6" t="n">
        <v>0</v>
      </c>
      <c r="V104" s="6" t="inlineStr"/>
    </row>
    <row r="105">
      <c r="A105" s="26" t="n">
        <v>103</v>
      </c>
      <c r="B105" s="27">
        <f>A105*1000/60</f>
        <v/>
      </c>
      <c r="C105" s="26" t="inlineStr">
        <is>
          <t>F burst จางจนหมด · กลับท่ายืน</t>
        </is>
      </c>
      <c r="D105" s="26" t="inlineStr">
        <is>
          <t>C28</t>
        </is>
      </c>
      <c r="E105" s="26" t="inlineStr">
        <is>
          <t>S2 clip 27</t>
        </is>
      </c>
      <c r="F105" s="26" t="n">
        <v>3</v>
      </c>
      <c r="G105" s="6" t="n">
        <v>0</v>
      </c>
      <c r="H105" s="6" t="n">
        <v>0</v>
      </c>
      <c r="I105" s="7">
        <f>G105/80</f>
        <v/>
      </c>
      <c r="J105" s="6" t="n">
        <v>390</v>
      </c>
      <c r="K105" s="6" t="n">
        <v>200</v>
      </c>
      <c r="L105" s="6" t="n">
        <v>110</v>
      </c>
      <c r="M105" s="6" t="n">
        <v>160</v>
      </c>
      <c r="N105" s="6" t="inlineStr"/>
      <c r="O105" s="6" t="inlineStr"/>
      <c r="P105" s="6" t="inlineStr"/>
      <c r="Q105" s="19" t="inlineStr">
        <is>
          <t>f8 · 90% · under</t>
        </is>
      </c>
      <c r="R105" s="6" t="inlineStr"/>
      <c r="S105" s="6" t="inlineStr"/>
      <c r="T105" s="6" t="n">
        <v>0</v>
      </c>
      <c r="U105" s="6" t="n">
        <v>0</v>
      </c>
      <c r="V105" s="6" t="inlineStr"/>
    </row>
    <row r="106">
      <c r="A106" s="26" t="n">
        <v>104</v>
      </c>
      <c r="B106" s="27">
        <f>A106*1000/60</f>
        <v/>
      </c>
      <c r="C106" s="26" t="inlineStr">
        <is>
          <t>F burst จางจนหมด · กลับท่ายืน</t>
        </is>
      </c>
      <c r="D106" s="26" t="inlineStr">
        <is>
          <t>C28</t>
        </is>
      </c>
      <c r="E106" s="26" t="inlineStr">
        <is>
          <t>S2 clip 27</t>
        </is>
      </c>
      <c r="F106" s="26" t="n">
        <v>4</v>
      </c>
      <c r="G106" s="6" t="n">
        <v>0</v>
      </c>
      <c r="H106" s="6" t="n">
        <v>0</v>
      </c>
      <c r="I106" s="7">
        <f>G106/80</f>
        <v/>
      </c>
      <c r="J106" s="6" t="n">
        <v>390</v>
      </c>
      <c r="K106" s="6" t="n">
        <v>200</v>
      </c>
      <c r="L106" s="6" t="n">
        <v>110</v>
      </c>
      <c r="M106" s="6" t="n">
        <v>160</v>
      </c>
      <c r="N106" s="6" t="inlineStr"/>
      <c r="O106" s="6" t="inlineStr"/>
      <c r="P106" s="6" t="inlineStr"/>
      <c r="Q106" s="19" t="inlineStr">
        <is>
          <t>f8 · 82% · under</t>
        </is>
      </c>
      <c r="R106" s="6" t="inlineStr"/>
      <c r="S106" s="6" t="inlineStr"/>
      <c r="T106" s="6" t="n">
        <v>0</v>
      </c>
      <c r="U106" s="6" t="n">
        <v>0</v>
      </c>
      <c r="V106" s="6" t="inlineStr"/>
    </row>
    <row r="107">
      <c r="A107" s="26" t="n">
        <v>105</v>
      </c>
      <c r="B107" s="27">
        <f>A107*1000/60</f>
        <v/>
      </c>
      <c r="C107" s="26" t="inlineStr">
        <is>
          <t>F burst จางจนหมด · กลับท่ายืน</t>
        </is>
      </c>
      <c r="D107" s="26" t="inlineStr">
        <is>
          <t>C29</t>
        </is>
      </c>
      <c r="E107" s="26" t="inlineStr">
        <is>
          <t>S2 clip 28</t>
        </is>
      </c>
      <c r="F107" s="26" t="n">
        <v>1</v>
      </c>
      <c r="G107" s="6" t="n">
        <v>0</v>
      </c>
      <c r="H107" s="6" t="n">
        <v>0</v>
      </c>
      <c r="I107" s="7">
        <f>G107/80</f>
        <v/>
      </c>
      <c r="J107" s="6" t="n">
        <v>390</v>
      </c>
      <c r="K107" s="6" t="n">
        <v>200</v>
      </c>
      <c r="L107" s="6" t="n">
        <v>110</v>
      </c>
      <c r="M107" s="6" t="n">
        <v>160</v>
      </c>
      <c r="N107" s="6" t="inlineStr"/>
      <c r="O107" s="6" t="inlineStr"/>
      <c r="P107" s="6" t="inlineStr"/>
      <c r="Q107" s="19" t="inlineStr">
        <is>
          <t>f8 · 72% · under</t>
        </is>
      </c>
      <c r="R107" s="6" t="inlineStr"/>
      <c r="S107" s="6" t="inlineStr"/>
      <c r="T107" s="6" t="n">
        <v>0</v>
      </c>
      <c r="U107" s="6" t="n">
        <v>0</v>
      </c>
      <c r="V107" s="6" t="inlineStr"/>
    </row>
    <row r="108">
      <c r="A108" s="26" t="n">
        <v>106</v>
      </c>
      <c r="B108" s="27">
        <f>A108*1000/60</f>
        <v/>
      </c>
      <c r="C108" s="26" t="inlineStr">
        <is>
          <t>F burst จางจนหมด · กลับท่ายืน</t>
        </is>
      </c>
      <c r="D108" s="26" t="inlineStr">
        <is>
          <t>C29</t>
        </is>
      </c>
      <c r="E108" s="26" t="inlineStr">
        <is>
          <t>S2 clip 28</t>
        </is>
      </c>
      <c r="F108" s="26" t="n">
        <v>2</v>
      </c>
      <c r="G108" s="6" t="n">
        <v>0</v>
      </c>
      <c r="H108" s="6" t="n">
        <v>0</v>
      </c>
      <c r="I108" s="7">
        <f>G108/80</f>
        <v/>
      </c>
      <c r="J108" s="6" t="n">
        <v>390</v>
      </c>
      <c r="K108" s="6" t="n">
        <v>200</v>
      </c>
      <c r="L108" s="6" t="n">
        <v>110</v>
      </c>
      <c r="M108" s="6" t="n">
        <v>160</v>
      </c>
      <c r="N108" s="6" t="inlineStr"/>
      <c r="O108" s="6" t="inlineStr"/>
      <c r="P108" s="6" t="inlineStr"/>
      <c r="Q108" s="19" t="inlineStr">
        <is>
          <t>f8 · 58% · under</t>
        </is>
      </c>
      <c r="R108" s="6" t="inlineStr"/>
      <c r="S108" s="6" t="inlineStr"/>
      <c r="T108" s="6" t="n">
        <v>0</v>
      </c>
      <c r="U108" s="6" t="n">
        <v>0</v>
      </c>
      <c r="V108" s="6" t="inlineStr"/>
    </row>
    <row r="109">
      <c r="A109" s="26" t="n">
        <v>107</v>
      </c>
      <c r="B109" s="27">
        <f>A109*1000/60</f>
        <v/>
      </c>
      <c r="C109" s="26" t="inlineStr">
        <is>
          <t>F burst จางจนหมด · กลับท่ายืน</t>
        </is>
      </c>
      <c r="D109" s="26" t="inlineStr">
        <is>
          <t>C29</t>
        </is>
      </c>
      <c r="E109" s="26" t="inlineStr">
        <is>
          <t>S2 clip 28</t>
        </is>
      </c>
      <c r="F109" s="26" t="n">
        <v>3</v>
      </c>
      <c r="G109" s="6" t="n">
        <v>0</v>
      </c>
      <c r="H109" s="6" t="n">
        <v>0</v>
      </c>
      <c r="I109" s="7">
        <f>G109/80</f>
        <v/>
      </c>
      <c r="J109" s="6" t="n">
        <v>390</v>
      </c>
      <c r="K109" s="6" t="n">
        <v>200</v>
      </c>
      <c r="L109" s="6" t="n">
        <v>110</v>
      </c>
      <c r="M109" s="6" t="n">
        <v>160</v>
      </c>
      <c r="N109" s="6" t="inlineStr"/>
      <c r="O109" s="6" t="inlineStr"/>
      <c r="P109" s="6" t="inlineStr"/>
      <c r="Q109" s="19" t="inlineStr">
        <is>
          <t>f8 · 43% · under</t>
        </is>
      </c>
      <c r="R109" s="6" t="inlineStr"/>
      <c r="S109" s="6" t="inlineStr"/>
      <c r="T109" s="6" t="n">
        <v>0</v>
      </c>
      <c r="U109" s="6" t="n">
        <v>0</v>
      </c>
      <c r="V109" s="6" t="inlineStr"/>
    </row>
    <row r="110">
      <c r="A110" s="26" t="n">
        <v>108</v>
      </c>
      <c r="B110" s="27">
        <f>A110*1000/60</f>
        <v/>
      </c>
      <c r="C110" s="26" t="inlineStr">
        <is>
          <t>F burst จางจนหมด · กลับท่ายืน</t>
        </is>
      </c>
      <c r="D110" s="26" t="inlineStr">
        <is>
          <t>C29</t>
        </is>
      </c>
      <c r="E110" s="26" t="inlineStr">
        <is>
          <t>S2 clip 28</t>
        </is>
      </c>
      <c r="F110" s="26" t="n">
        <v>4</v>
      </c>
      <c r="G110" s="6" t="n">
        <v>0</v>
      </c>
      <c r="H110" s="6" t="n">
        <v>0</v>
      </c>
      <c r="I110" s="7">
        <f>G110/80</f>
        <v/>
      </c>
      <c r="J110" s="6" t="n">
        <v>390</v>
      </c>
      <c r="K110" s="6" t="n">
        <v>200</v>
      </c>
      <c r="L110" s="6" t="n">
        <v>110</v>
      </c>
      <c r="M110" s="6" t="n">
        <v>160</v>
      </c>
      <c r="N110" s="6" t="inlineStr"/>
      <c r="O110" s="6" t="inlineStr"/>
      <c r="P110" s="6" t="inlineStr"/>
      <c r="Q110" s="19" t="inlineStr">
        <is>
          <t>f8 · 25% · under</t>
        </is>
      </c>
      <c r="R110" s="6" t="inlineStr"/>
      <c r="S110" s="6" t="inlineStr"/>
      <c r="T110" s="6" t="n">
        <v>0</v>
      </c>
      <c r="U110" s="6" t="n">
        <v>0</v>
      </c>
      <c r="V110" s="6" t="inlineStr"/>
    </row>
    <row r="111">
      <c r="A111" s="26" t="n">
        <v>109</v>
      </c>
      <c r="B111" s="27">
        <f>A111*1000/60</f>
        <v/>
      </c>
      <c r="C111" s="26" t="inlineStr">
        <is>
          <t>F burst จางจนหมด · กลับท่ายืน</t>
        </is>
      </c>
      <c r="D111" s="26" t="inlineStr">
        <is>
          <t>C30</t>
        </is>
      </c>
      <c r="E111" s="26" t="inlineStr">
        <is>
          <t>S2 clip 29</t>
        </is>
      </c>
      <c r="F111" s="26" t="n">
        <v>1</v>
      </c>
      <c r="G111" s="6" t="n">
        <v>0</v>
      </c>
      <c r="H111" s="6" t="n">
        <v>0</v>
      </c>
      <c r="I111" s="7">
        <f>G111/80</f>
        <v/>
      </c>
      <c r="J111" s="6" t="n">
        <v>390</v>
      </c>
      <c r="K111" s="6" t="n">
        <v>200</v>
      </c>
      <c r="L111" s="6" t="n">
        <v>110</v>
      </c>
      <c r="M111" s="6" t="n">
        <v>160</v>
      </c>
      <c r="N111" s="6" t="inlineStr"/>
      <c r="O111" s="6" t="inlineStr"/>
      <c r="P111" s="6" t="inlineStr"/>
      <c r="Q111" s="19" t="inlineStr">
        <is>
          <t>f8 · 4% · under</t>
        </is>
      </c>
      <c r="R111" s="6" t="inlineStr"/>
      <c r="S111" s="6" t="inlineStr"/>
      <c r="T111" s="6" t="n">
        <v>0</v>
      </c>
      <c r="U111" s="6" t="n">
        <v>0</v>
      </c>
      <c r="V111" s="6" t="inlineStr"/>
    </row>
    <row r="112">
      <c r="A112" s="26" t="n">
        <v>110</v>
      </c>
      <c r="B112" s="27">
        <f>A112*1000/60</f>
        <v/>
      </c>
      <c r="C112" s="26" t="inlineStr">
        <is>
          <t>F burst จางจนหมด · กลับท่ายืน</t>
        </is>
      </c>
      <c r="D112" s="26" t="inlineStr">
        <is>
          <t>C30</t>
        </is>
      </c>
      <c r="E112" s="26" t="inlineStr">
        <is>
          <t>S2 clip 29</t>
        </is>
      </c>
      <c r="F112" s="26" t="n">
        <v>2</v>
      </c>
      <c r="G112" s="6" t="n">
        <v>0</v>
      </c>
      <c r="H112" s="6" t="n">
        <v>0</v>
      </c>
      <c r="I112" s="7">
        <f>G112/80</f>
        <v/>
      </c>
      <c r="J112" s="6" t="n">
        <v>390</v>
      </c>
      <c r="K112" s="6" t="n">
        <v>200</v>
      </c>
      <c r="L112" s="6" t="n">
        <v>110</v>
      </c>
      <c r="M112" s="6" t="n">
        <v>160</v>
      </c>
      <c r="N112" s="6" t="inlineStr"/>
      <c r="O112" s="6" t="inlineStr"/>
      <c r="P112" s="6" t="inlineStr"/>
      <c r="Q112" s="6" t="inlineStr"/>
      <c r="R112" s="6" t="inlineStr"/>
      <c r="S112" s="6" t="inlineStr"/>
      <c r="T112" s="6" t="n">
        <v>0</v>
      </c>
      <c r="U112" s="6" t="n">
        <v>0</v>
      </c>
      <c r="V112" s="6" t="inlineStr"/>
    </row>
    <row r="113">
      <c r="A113" s="26" t="n">
        <v>111</v>
      </c>
      <c r="B113" s="27">
        <f>A113*1000/60</f>
        <v/>
      </c>
      <c r="C113" s="26" t="inlineStr">
        <is>
          <t>F burst จางจนหมด · กลับท่ายืน</t>
        </is>
      </c>
      <c r="D113" s="26" t="inlineStr">
        <is>
          <t>C30</t>
        </is>
      </c>
      <c r="E113" s="26" t="inlineStr">
        <is>
          <t>S2 clip 29</t>
        </is>
      </c>
      <c r="F113" s="26" t="n">
        <v>3</v>
      </c>
      <c r="G113" s="6" t="n">
        <v>0</v>
      </c>
      <c r="H113" s="6" t="n">
        <v>0</v>
      </c>
      <c r="I113" s="7">
        <f>G113/80</f>
        <v/>
      </c>
      <c r="J113" s="6" t="n">
        <v>390</v>
      </c>
      <c r="K113" s="6" t="n">
        <v>200</v>
      </c>
      <c r="L113" s="6" t="n">
        <v>110</v>
      </c>
      <c r="M113" s="6" t="n">
        <v>160</v>
      </c>
      <c r="N113" s="6" t="inlineStr"/>
      <c r="O113" s="6" t="inlineStr"/>
      <c r="P113" s="6" t="inlineStr"/>
      <c r="Q113" s="6" t="inlineStr"/>
      <c r="R113" s="6" t="inlineStr"/>
      <c r="S113" s="6" t="inlineStr"/>
      <c r="T113" s="6" t="n">
        <v>0</v>
      </c>
      <c r="U113" s="6" t="n">
        <v>0</v>
      </c>
      <c r="V113" s="6" t="inlineStr"/>
    </row>
    <row r="114">
      <c r="A114" s="26" t="n">
        <v>112</v>
      </c>
      <c r="B114" s="27">
        <f>A114*1000/60</f>
        <v/>
      </c>
      <c r="C114" s="26" t="inlineStr">
        <is>
          <t>F burst จางจนหมด · กลับท่ายืน</t>
        </is>
      </c>
      <c r="D114" s="26" t="inlineStr">
        <is>
          <t>C30</t>
        </is>
      </c>
      <c r="E114" s="26" t="inlineStr">
        <is>
          <t>S2 clip 29</t>
        </is>
      </c>
      <c r="F114" s="26" t="n">
        <v>4</v>
      </c>
      <c r="G114" s="6" t="n">
        <v>0</v>
      </c>
      <c r="H114" s="6" t="n">
        <v>0</v>
      </c>
      <c r="I114" s="7">
        <f>G114/80</f>
        <v/>
      </c>
      <c r="J114" s="6" t="n">
        <v>390</v>
      </c>
      <c r="K114" s="6" t="n">
        <v>200</v>
      </c>
      <c r="L114" s="6" t="n">
        <v>110</v>
      </c>
      <c r="M114" s="6" t="n">
        <v>160</v>
      </c>
      <c r="N114" s="6" t="inlineStr"/>
      <c r="O114" s="6" t="inlineStr"/>
      <c r="P114" s="6" t="inlineStr"/>
      <c r="Q114" s="6" t="inlineStr"/>
      <c r="R114" s="6" t="inlineStr"/>
      <c r="S114" s="6" t="inlineStr"/>
      <c r="T114" s="6" t="n">
        <v>0</v>
      </c>
      <c r="U114" s="6" t="n">
        <v>0</v>
      </c>
      <c r="V114" s="6" t="inlineStr"/>
    </row>
    <row r="115">
      <c r="A115" s="26" t="n">
        <v>113</v>
      </c>
      <c r="B115" s="27">
        <f>A115*1000/60</f>
        <v/>
      </c>
      <c r="C115" s="26" t="inlineStr">
        <is>
          <t>F burst จางจนหมด · กลับท่ายืน</t>
        </is>
      </c>
      <c r="D115" s="26" t="inlineStr">
        <is>
          <t>C30</t>
        </is>
      </c>
      <c r="E115" s="26" t="inlineStr">
        <is>
          <t>S2 clip 29</t>
        </is>
      </c>
      <c r="F115" s="26" t="n">
        <v>5</v>
      </c>
      <c r="G115" s="6" t="n">
        <v>0</v>
      </c>
      <c r="H115" s="6" t="n">
        <v>0</v>
      </c>
      <c r="I115" s="7">
        <f>G115/80</f>
        <v/>
      </c>
      <c r="J115" s="6" t="n">
        <v>390</v>
      </c>
      <c r="K115" s="6" t="n">
        <v>200</v>
      </c>
      <c r="L115" s="6" t="n">
        <v>110</v>
      </c>
      <c r="M115" s="6" t="n">
        <v>160</v>
      </c>
      <c r="N115" s="6" t="inlineStr">
        <is>
          <t>IDLE</t>
        </is>
      </c>
      <c r="O115" s="6" t="inlineStr"/>
      <c r="P115" s="6" t="inlineStr"/>
      <c r="Q115" s="6" t="inlineStr"/>
      <c r="R115" s="6" t="inlineStr"/>
      <c r="S115" s="6" t="inlineStr"/>
      <c r="T115" s="6" t="n">
        <v>0</v>
      </c>
      <c r="U115" s="6" t="n">
        <v>0</v>
      </c>
      <c r="V115" s="6" t="inlineStr">
        <is>
          <t>clip end 1.89s</t>
        </is>
      </c>
    </row>
    <row r="116">
      <c r="A116" s="26" t="n">
        <v>114</v>
      </c>
      <c r="B116" s="27">
        <f>A116*1000/60</f>
        <v/>
      </c>
      <c r="C116" s="26" t="inlineStr">
        <is>
          <t>F burst จางจนหมด · กลับท่ายืน</t>
        </is>
      </c>
      <c r="D116" s="26" t="inlineStr">
        <is>
          <t>C31</t>
        </is>
      </c>
      <c r="E116" s="26" t="inlineStr">
        <is>
          <t>idle</t>
        </is>
      </c>
      <c r="F116" s="26" t="n">
        <v>1</v>
      </c>
      <c r="G116" s="6" t="n">
        <v>0</v>
      </c>
      <c r="H116" s="6" t="n">
        <v>0</v>
      </c>
      <c r="I116" s="7">
        <f>G116/80</f>
        <v/>
      </c>
      <c r="J116" s="6" t="n">
        <v>390</v>
      </c>
      <c r="K116" s="6" t="n">
        <v>200</v>
      </c>
      <c r="L116" s="6" t="n">
        <v>110</v>
      </c>
      <c r="M116" s="6" t="n">
        <v>160</v>
      </c>
      <c r="N116" s="6" t="inlineStr"/>
      <c r="O116" s="6" t="inlineStr"/>
      <c r="P116" s="6" t="inlineStr"/>
      <c r="Q116" s="6" t="inlineStr"/>
      <c r="R116" s="6" t="inlineStr"/>
      <c r="S116" s="6" t="inlineStr"/>
      <c r="T116" s="6" t="n">
        <v>0</v>
      </c>
      <c r="U116" s="6" t="n">
        <v>0</v>
      </c>
      <c r="V116" s="6" t="inlineStr"/>
    </row>
    <row r="117">
      <c r="A117" s="26" t="n">
        <v>115</v>
      </c>
      <c r="B117" s="27">
        <f>A117*1000/60</f>
        <v/>
      </c>
      <c r="C117" s="26" t="inlineStr">
        <is>
          <t>F burst จางจนหมด · กลับท่ายืน</t>
        </is>
      </c>
      <c r="D117" s="26" t="inlineStr">
        <is>
          <t>C31</t>
        </is>
      </c>
      <c r="E117" s="26" t="inlineStr">
        <is>
          <t>idle</t>
        </is>
      </c>
      <c r="F117" s="26" t="n">
        <v>2</v>
      </c>
      <c r="G117" s="6" t="n">
        <v>0</v>
      </c>
      <c r="H117" s="6" t="n">
        <v>0</v>
      </c>
      <c r="I117" s="7">
        <f>G117/80</f>
        <v/>
      </c>
      <c r="J117" s="6" t="n">
        <v>390</v>
      </c>
      <c r="K117" s="6" t="n">
        <v>200</v>
      </c>
      <c r="L117" s="6" t="n">
        <v>110</v>
      </c>
      <c r="M117" s="6" t="n">
        <v>160</v>
      </c>
      <c r="N117" s="6" t="inlineStr"/>
      <c r="O117" s="6" t="inlineStr"/>
      <c r="P117" s="6" t="inlineStr"/>
      <c r="Q117" s="6" t="inlineStr"/>
      <c r="R117" s="6" t="inlineStr"/>
      <c r="S117" s="6" t="inlineStr"/>
      <c r="T117" s="6" t="n">
        <v>0</v>
      </c>
      <c r="U117" s="6" t="n">
        <v>0</v>
      </c>
      <c r="V117" s="6" t="inlineStr"/>
    </row>
    <row r="118">
      <c r="A118" s="26" t="n">
        <v>116</v>
      </c>
      <c r="B118" s="27">
        <f>A118*1000/60</f>
        <v/>
      </c>
      <c r="C118" s="26" t="inlineStr">
        <is>
          <t>F burst จางจนหมด · กลับท่ายืน</t>
        </is>
      </c>
      <c r="D118" s="26" t="inlineStr">
        <is>
          <t>C31</t>
        </is>
      </c>
      <c r="E118" s="26" t="inlineStr">
        <is>
          <t>idle</t>
        </is>
      </c>
      <c r="F118" s="26" t="n">
        <v>3</v>
      </c>
      <c r="G118" s="6" t="n">
        <v>0</v>
      </c>
      <c r="H118" s="6" t="n">
        <v>0</v>
      </c>
      <c r="I118" s="7">
        <f>G118/80</f>
        <v/>
      </c>
      <c r="J118" s="6" t="n">
        <v>390</v>
      </c>
      <c r="K118" s="6" t="n">
        <v>200</v>
      </c>
      <c r="L118" s="6" t="n">
        <v>110</v>
      </c>
      <c r="M118" s="6" t="n">
        <v>160</v>
      </c>
      <c r="N118" s="6" t="inlineStr"/>
      <c r="O118" s="6" t="inlineStr"/>
      <c r="P118" s="6" t="inlineStr"/>
      <c r="Q118" s="6" t="inlineStr"/>
      <c r="R118" s="6" t="inlineStr"/>
      <c r="S118" s="6" t="inlineStr"/>
      <c r="T118" s="6" t="n">
        <v>0</v>
      </c>
      <c r="U118" s="6" t="n">
        <v>0</v>
      </c>
      <c r="V118" s="6" t="inlineStr"/>
    </row>
    <row r="119">
      <c r="A119" s="26" t="n">
        <v>117</v>
      </c>
      <c r="B119" s="27">
        <f>A119*1000/60</f>
        <v/>
      </c>
      <c r="C119" s="26" t="inlineStr">
        <is>
          <t>F burst จางจนหมด · กลับท่ายืน</t>
        </is>
      </c>
      <c r="D119" s="26" t="inlineStr">
        <is>
          <t>C31</t>
        </is>
      </c>
      <c r="E119" s="26" t="inlineStr">
        <is>
          <t>idle</t>
        </is>
      </c>
      <c r="F119" s="26" t="n">
        <v>4</v>
      </c>
      <c r="G119" s="6" t="n">
        <v>0</v>
      </c>
      <c r="H119" s="6" t="n">
        <v>0</v>
      </c>
      <c r="I119" s="7">
        <f>G119/80</f>
        <v/>
      </c>
      <c r="J119" s="6" t="n">
        <v>390</v>
      </c>
      <c r="K119" s="6" t="n">
        <v>200</v>
      </c>
      <c r="L119" s="6" t="n">
        <v>110</v>
      </c>
      <c r="M119" s="6" t="n">
        <v>160</v>
      </c>
      <c r="N119" s="6" t="inlineStr"/>
      <c r="O119" s="6" t="inlineStr"/>
      <c r="P119" s="6" t="inlineStr"/>
      <c r="Q119" s="6" t="inlineStr"/>
      <c r="R119" s="6" t="inlineStr"/>
      <c r="S119" s="6" t="inlineStr"/>
      <c r="T119" s="6" t="n">
        <v>0</v>
      </c>
      <c r="U119" s="6" t="n">
        <v>0</v>
      </c>
      <c r="V119" s="6" t="inlineStr"/>
    </row>
    <row r="120">
      <c r="A120" s="26" t="n">
        <v>118</v>
      </c>
      <c r="B120" s="27">
        <f>A120*1000/60</f>
        <v/>
      </c>
      <c r="C120" s="26" t="inlineStr">
        <is>
          <t>F burst จางจนหมด · กลับท่ายืน</t>
        </is>
      </c>
      <c r="D120" s="26" t="inlineStr">
        <is>
          <t>C31</t>
        </is>
      </c>
      <c r="E120" s="26" t="inlineStr">
        <is>
          <t>idle</t>
        </is>
      </c>
      <c r="F120" s="26" t="n">
        <v>5</v>
      </c>
      <c r="G120" s="6" t="n">
        <v>0</v>
      </c>
      <c r="H120" s="6" t="n">
        <v>0</v>
      </c>
      <c r="I120" s="7">
        <f>G120/80</f>
        <v/>
      </c>
      <c r="J120" s="6" t="n">
        <v>390</v>
      </c>
      <c r="K120" s="6" t="n">
        <v>200</v>
      </c>
      <c r="L120" s="6" t="n">
        <v>110</v>
      </c>
      <c r="M120" s="6" t="n">
        <v>160</v>
      </c>
      <c r="N120" s="6" t="inlineStr"/>
      <c r="O120" s="6" t="inlineStr"/>
      <c r="P120" s="6" t="inlineStr"/>
      <c r="Q120" s="6" t="inlineStr"/>
      <c r="R120" s="6" t="inlineStr"/>
      <c r="S120" s="6" t="inlineStr"/>
      <c r="T120" s="6" t="n">
        <v>0</v>
      </c>
      <c r="U120" s="6" t="n">
        <v>0</v>
      </c>
      <c r="V120" s="6" t="inlineStr"/>
    </row>
    <row r="121">
      <c r="A121" s="26" t="n">
        <v>119</v>
      </c>
      <c r="B121" s="27">
        <f>A121*1000/60</f>
        <v/>
      </c>
      <c r="C121" s="26" t="inlineStr">
        <is>
          <t>F burst จางจนหมด · กลับท่ายืน</t>
        </is>
      </c>
      <c r="D121" s="26" t="inlineStr">
        <is>
          <t>C31</t>
        </is>
      </c>
      <c r="E121" s="26" t="inlineStr">
        <is>
          <t>idle</t>
        </is>
      </c>
      <c r="F121" s="26" t="n">
        <v>6</v>
      </c>
      <c r="G121" s="6" t="n">
        <v>0</v>
      </c>
      <c r="H121" s="6" t="n">
        <v>0</v>
      </c>
      <c r="I121" s="7">
        <f>G121/80</f>
        <v/>
      </c>
      <c r="J121" s="6" t="n">
        <v>390</v>
      </c>
      <c r="K121" s="6" t="n">
        <v>200</v>
      </c>
      <c r="L121" s="6" t="n">
        <v>110</v>
      </c>
      <c r="M121" s="6" t="n">
        <v>160</v>
      </c>
      <c r="N121" s="6" t="inlineStr"/>
      <c r="O121" s="6" t="inlineStr"/>
      <c r="P121" s="6" t="inlineStr"/>
      <c r="Q121" s="6" t="inlineStr"/>
      <c r="R121" s="6" t="inlineStr"/>
      <c r="S121" s="6" t="inlineStr"/>
      <c r="T121" s="6" t="n">
        <v>0</v>
      </c>
      <c r="U121" s="6" t="n">
        <v>0</v>
      </c>
      <c r="V121" s="6" t="inlineStr"/>
    </row>
    <row r="122">
      <c r="A122" s="26" t="n">
        <v>120</v>
      </c>
      <c r="B122" s="27">
        <f>A122*1000/60</f>
        <v/>
      </c>
      <c r="C122" s="26" t="inlineStr">
        <is>
          <t>F burst จางจนหมด · กลับท่ายืน</t>
        </is>
      </c>
      <c r="D122" s="26" t="inlineStr">
        <is>
          <t>C31</t>
        </is>
      </c>
      <c r="E122" s="26" t="inlineStr">
        <is>
          <t>idle</t>
        </is>
      </c>
      <c r="F122" s="26" t="n">
        <v>7</v>
      </c>
      <c r="G122" s="6" t="n">
        <v>0</v>
      </c>
      <c r="H122" s="6" t="n">
        <v>0</v>
      </c>
      <c r="I122" s="7">
        <f>G122/80</f>
        <v/>
      </c>
      <c r="J122" s="6" t="n">
        <v>390</v>
      </c>
      <c r="K122" s="6" t="n">
        <v>200</v>
      </c>
      <c r="L122" s="6" t="n">
        <v>110</v>
      </c>
      <c r="M122" s="6" t="n">
        <v>160</v>
      </c>
      <c r="N122" s="6" t="inlineStr"/>
      <c r="O122" s="6" t="inlineStr"/>
      <c r="P122" s="6" t="inlineStr"/>
      <c r="Q122" s="6" t="inlineStr"/>
      <c r="R122" s="6" t="inlineStr"/>
      <c r="S122" s="6" t="inlineStr"/>
      <c r="T122" s="6" t="n">
        <v>0</v>
      </c>
      <c r="U122" s="6" t="n">
        <v>0</v>
      </c>
      <c r="V122" s="6" t="inlineStr"/>
    </row>
    <row r="123">
      <c r="A123" s="26" t="n">
        <v>121</v>
      </c>
      <c r="B123" s="27">
        <f>A123*1000/60</f>
        <v/>
      </c>
      <c r="C123" s="26" t="inlineStr">
        <is>
          <t>F burst จางจนหมด · กลับท่ายืน</t>
        </is>
      </c>
      <c r="D123" s="26" t="inlineStr">
        <is>
          <t>C31</t>
        </is>
      </c>
      <c r="E123" s="26" t="inlineStr">
        <is>
          <t>idle</t>
        </is>
      </c>
      <c r="F123" s="26" t="n">
        <v>8</v>
      </c>
      <c r="G123" s="6" t="n">
        <v>0</v>
      </c>
      <c r="H123" s="6" t="n">
        <v>0</v>
      </c>
      <c r="I123" s="7">
        <f>G123/80</f>
        <v/>
      </c>
      <c r="J123" s="6" t="n">
        <v>390</v>
      </c>
      <c r="K123" s="6" t="n">
        <v>200</v>
      </c>
      <c r="L123" s="6" t="n">
        <v>110</v>
      </c>
      <c r="M123" s="6" t="n">
        <v>160</v>
      </c>
      <c r="N123" s="6" t="inlineStr"/>
      <c r="O123" s="6" t="inlineStr"/>
      <c r="P123" s="6" t="inlineStr"/>
      <c r="Q123" s="6" t="inlineStr"/>
      <c r="R123" s="6" t="inlineStr"/>
      <c r="S123" s="6" t="inlineStr"/>
      <c r="T123" s="6" t="n">
        <v>0</v>
      </c>
      <c r="U123" s="6" t="n">
        <v>0</v>
      </c>
      <c r="V12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8" customWidth="1" min="4" max="4"/>
    <col width="8" customWidth="1" min="5" max="5"/>
    <col width="11" customWidth="1" min="6" max="6"/>
    <col width="9" customWidth="1" min="7" max="7"/>
    <col width="46" customWidth="1" min="8" max="8"/>
    <col width="46" customWidth="1" min="9" max="9"/>
  </cols>
  <sheetData>
    <row r="1" ht="34" customHeight="1">
      <c r="A1" s="3" t="inlineStr">
        <is>
          <t>Char</t>
        </is>
      </c>
      <c r="B1" s="3" t="inlineStr">
        <is>
          <t>Game frame</t>
        </is>
      </c>
      <c r="C1" s="3" t="inlineStr">
        <is>
          <t>From T</t>
        </is>
      </c>
      <c r="D1" s="3" t="inlineStr">
        <is>
          <t>To T</t>
        </is>
      </c>
      <c r="E1" s="3" t="inlineStr">
        <is>
          <t>Frames</t>
        </is>
      </c>
      <c r="F1" s="3" t="inlineStr">
        <is>
          <t>Preview ms</t>
        </is>
      </c>
      <c r="G1" s="3" t="inlineStr">
        <is>
          <t>Game ms</t>
        </is>
      </c>
      <c r="H1" s="3" t="inlineStr">
        <is>
          <t>ท่า</t>
        </is>
      </c>
      <c r="I1" s="3" t="inlineStr">
        <is>
          <t>จุดสำคัญ</t>
        </is>
      </c>
    </row>
    <row r="2">
      <c r="A2" s="28" t="inlineStr">
        <is>
          <t>C01</t>
        </is>
      </c>
      <c r="B2" s="28" t="inlineStr">
        <is>
          <t>S2 clip 0</t>
        </is>
      </c>
      <c r="C2" s="28" t="n">
        <v>0</v>
      </c>
      <c r="D2" s="28" t="n">
        <v>2</v>
      </c>
      <c r="E2" s="28">
        <f>D2-C2+1</f>
        <v/>
      </c>
      <c r="F2" s="29">
        <f>E2*1000/60</f>
        <v/>
      </c>
      <c r="G2" s="28" t="n">
        <v>50</v>
      </c>
      <c r="H2" s="28" t="inlineStr">
        <is>
          <t>ท่าพร้อม</t>
        </is>
      </c>
      <c r="I2" s="28" t="inlineStr">
        <is>
          <t>T000 idle</t>
        </is>
      </c>
    </row>
    <row r="3">
      <c r="A3" s="30" t="inlineStr">
        <is>
          <t>C02</t>
        </is>
      </c>
      <c r="B3" s="30" t="inlineStr">
        <is>
          <t>S2 clip 1</t>
        </is>
      </c>
      <c r="C3" s="30" t="n">
        <v>3</v>
      </c>
      <c r="D3" s="30" t="n">
        <v>5</v>
      </c>
      <c r="E3" s="30">
        <f>D3-C3+1</f>
        <v/>
      </c>
      <c r="F3" s="31">
        <f>E3*1000/60</f>
        <v/>
      </c>
      <c r="G3" s="30" t="n">
        <v>50</v>
      </c>
      <c r="H3" s="30" t="inlineStr">
        <is>
          <t>เริ่มท่า</t>
        </is>
      </c>
      <c r="I3" s="30" t="inlineStr">
        <is>
          <t>CAST_START 0.05</t>
        </is>
      </c>
    </row>
    <row r="4">
      <c r="A4" s="30" t="inlineStr">
        <is>
          <t>C03</t>
        </is>
      </c>
      <c r="B4" s="30" t="inlineStr">
        <is>
          <t>S2 clip 2</t>
        </is>
      </c>
      <c r="C4" s="30" t="n">
        <v>6</v>
      </c>
      <c r="D4" s="30" t="n">
        <v>8</v>
      </c>
      <c r="E4" s="30">
        <f>D4-C4+1</f>
        <v/>
      </c>
      <c r="F4" s="31">
        <f>E4*1000/60</f>
        <v/>
      </c>
      <c r="G4" s="30" t="n">
        <v>50</v>
      </c>
      <c r="H4" s="30" t="inlineStr"/>
      <c r="I4" s="30" t="inlineStr"/>
    </row>
    <row r="5">
      <c r="A5" s="30" t="inlineStr">
        <is>
          <t>C04</t>
        </is>
      </c>
      <c r="B5" s="30" t="inlineStr">
        <is>
          <t>S2 clip 3</t>
        </is>
      </c>
      <c r="C5" s="30" t="n">
        <v>9</v>
      </c>
      <c r="D5" s="30" t="n">
        <v>11</v>
      </c>
      <c r="E5" s="30">
        <f>D5-C5+1</f>
        <v/>
      </c>
      <c r="F5" s="31">
        <f>E5*1000/60</f>
        <v/>
      </c>
      <c r="G5" s="30" t="n">
        <v>50</v>
      </c>
      <c r="H5" s="30" t="inlineStr"/>
      <c r="I5" s="30" t="inlineStr"/>
    </row>
    <row r="6">
      <c r="A6" s="30" t="inlineStr">
        <is>
          <t>C05</t>
        </is>
      </c>
      <c r="B6" s="30" t="inlineStr">
        <is>
          <t>S2 clip 4</t>
        </is>
      </c>
      <c r="C6" s="30" t="n">
        <v>12</v>
      </c>
      <c r="D6" s="30" t="n">
        <v>14</v>
      </c>
      <c r="E6" s="30">
        <f>D6-C6+1</f>
        <v/>
      </c>
      <c r="F6" s="31">
        <f>E6*1000/60</f>
        <v/>
      </c>
      <c r="G6" s="30" t="n">
        <v>50</v>
      </c>
      <c r="H6" s="30" t="inlineStr"/>
      <c r="I6" s="30" t="inlineStr"/>
    </row>
    <row r="7">
      <c r="A7" s="30" t="inlineStr">
        <is>
          <t>C06</t>
        </is>
      </c>
      <c r="B7" s="30" t="inlineStr">
        <is>
          <t>S2 clip 5</t>
        </is>
      </c>
      <c r="C7" s="30" t="n">
        <v>15</v>
      </c>
      <c r="D7" s="30" t="n">
        <v>17</v>
      </c>
      <c r="E7" s="30">
        <f>D7-C7+1</f>
        <v/>
      </c>
      <c r="F7" s="31">
        <f>E7*1000/60</f>
        <v/>
      </c>
      <c r="G7" s="30" t="n">
        <v>50</v>
      </c>
      <c r="H7" s="30" t="inlineStr"/>
      <c r="I7" s="30" t="inlineStr"/>
    </row>
    <row r="8">
      <c r="A8" s="30" t="inlineStr">
        <is>
          <t>C07</t>
        </is>
      </c>
      <c r="B8" s="30" t="inlineStr">
        <is>
          <t>S2 clip 6</t>
        </is>
      </c>
      <c r="C8" s="30" t="n">
        <v>18</v>
      </c>
      <c r="D8" s="30" t="n">
        <v>20</v>
      </c>
      <c r="E8" s="30">
        <f>D8-C8+1</f>
        <v/>
      </c>
      <c r="F8" s="31">
        <f>E8*1000/60</f>
        <v/>
      </c>
      <c r="G8" s="30" t="n">
        <v>50</v>
      </c>
      <c r="H8" s="30" t="inlineStr"/>
      <c r="I8" s="30" t="inlineStr"/>
    </row>
    <row r="9">
      <c r="A9" s="30" t="inlineStr">
        <is>
          <t>C08</t>
        </is>
      </c>
      <c r="B9" s="30" t="inlineStr">
        <is>
          <t>S2 clip 7</t>
        </is>
      </c>
      <c r="C9" s="30" t="n">
        <v>21</v>
      </c>
      <c r="D9" s="30" t="n">
        <v>23</v>
      </c>
      <c r="E9" s="30">
        <f>D9-C9+1</f>
        <v/>
      </c>
      <c r="F9" s="31">
        <f>E9*1000/60</f>
        <v/>
      </c>
      <c r="G9" s="30" t="n">
        <v>50</v>
      </c>
      <c r="H9" s="30" t="inlineStr">
        <is>
          <t>ง้างไม้</t>
        </is>
      </c>
      <c r="I9" s="30" t="inlineStr">
        <is>
          <t>STRIKE_START #1</t>
        </is>
      </c>
    </row>
    <row r="10">
      <c r="A10" s="32" t="inlineStr">
        <is>
          <t>C09</t>
        </is>
      </c>
      <c r="B10" s="32" t="inlineStr">
        <is>
          <t>S2 clip 8</t>
        </is>
      </c>
      <c r="C10" s="32" t="n">
        <v>24</v>
      </c>
      <c r="D10" s="32" t="n">
        <v>29</v>
      </c>
      <c r="E10" s="32">
        <f>D10-C10+1</f>
        <v/>
      </c>
      <c r="F10" s="33">
        <f>E10*1000/60</f>
        <v/>
      </c>
      <c r="G10" s="32" t="n">
        <v>100</v>
      </c>
      <c r="H10" s="32" t="inlineStr">
        <is>
          <t>ตีครั้งที่ 1 (F13)</t>
        </is>
      </c>
      <c r="I10" s="32" t="inlineStr">
        <is>
          <t>VFX_SPAWN #0 · GroundHexSpawn ใต้พื้นที่เป้า</t>
        </is>
      </c>
    </row>
    <row r="11">
      <c r="A11" s="32" t="inlineStr">
        <is>
          <t>C10</t>
        </is>
      </c>
      <c r="B11" s="32" t="inlineStr">
        <is>
          <t>S2 clip 9</t>
        </is>
      </c>
      <c r="C11" s="32" t="n">
        <v>30</v>
      </c>
      <c r="D11" s="32" t="n">
        <v>32</v>
      </c>
      <c r="E11" s="32">
        <f>D11-C11+1</f>
        <v/>
      </c>
      <c r="F11" s="33">
        <f>E11*1000/60</f>
        <v/>
      </c>
      <c r="G11" s="32" t="n">
        <v>50</v>
      </c>
      <c r="H11" s="32" t="inlineStr">
        <is>
          <t>ค้างท่าตี</t>
        </is>
      </c>
      <c r="I11" s="32" t="inlineStr"/>
    </row>
    <row r="12">
      <c r="A12" s="32" t="inlineStr">
        <is>
          <t>C11</t>
        </is>
      </c>
      <c r="B12" s="32" t="inlineStr">
        <is>
          <t>S2 clip 10</t>
        </is>
      </c>
      <c r="C12" s="32" t="n">
        <v>33</v>
      </c>
      <c r="D12" s="32" t="n">
        <v>35</v>
      </c>
      <c r="E12" s="32">
        <f>D12-C12+1</f>
        <v/>
      </c>
      <c r="F12" s="33">
        <f>E12*1000/60</f>
        <v/>
      </c>
      <c r="G12" s="32" t="n">
        <v>50</v>
      </c>
      <c r="H12" s="32" t="inlineStr"/>
      <c r="I12" s="32" t="inlineStr"/>
    </row>
    <row r="13">
      <c r="A13" s="32" t="inlineStr">
        <is>
          <t>C12</t>
        </is>
      </c>
      <c r="B13" s="32" t="inlineStr">
        <is>
          <t>S2 clip 11</t>
        </is>
      </c>
      <c r="C13" s="32" t="n">
        <v>36</v>
      </c>
      <c r="D13" s="32" t="n">
        <v>38</v>
      </c>
      <c r="E13" s="32">
        <f>D13-C13+1</f>
        <v/>
      </c>
      <c r="F13" s="33">
        <f>E13*1000/60</f>
        <v/>
      </c>
      <c r="G13" s="32" t="n">
        <v>50</v>
      </c>
      <c r="H13" s="32" t="inlineStr"/>
      <c r="I13" s="32" t="inlineStr"/>
    </row>
    <row r="14">
      <c r="A14" s="34" t="inlineStr">
        <is>
          <t>C13</t>
        </is>
      </c>
      <c r="B14" s="34" t="inlineStr">
        <is>
          <t>S2 clip 12</t>
        </is>
      </c>
      <c r="C14" s="34" t="n">
        <v>39</v>
      </c>
      <c r="D14" s="34" t="n">
        <v>43</v>
      </c>
      <c r="E14" s="34">
        <f>D14-C14+1</f>
        <v/>
      </c>
      <c r="F14" s="35">
        <f>E14*1000/60</f>
        <v/>
      </c>
      <c r="G14" s="34" t="n">
        <v>70</v>
      </c>
      <c r="H14" s="34" t="inlineStr">
        <is>
          <t>ควงไม้ที่อก</t>
        </is>
      </c>
      <c r="I14" s="34" t="inlineStr">
        <is>
          <t>CHARGE_START · GroundHexLoop (ชาร์จ ไม่มีดาเมจ)</t>
        </is>
      </c>
    </row>
    <row r="15">
      <c r="A15" s="34" t="inlineStr">
        <is>
          <t>C14</t>
        </is>
      </c>
      <c r="B15" s="34" t="inlineStr">
        <is>
          <t>S2 clip 13</t>
        </is>
      </c>
      <c r="C15" s="34" t="n">
        <v>44</v>
      </c>
      <c r="D15" s="34" t="n">
        <v>47</v>
      </c>
      <c r="E15" s="34">
        <f>D15-C15+1</f>
        <v/>
      </c>
      <c r="F15" s="35">
        <f>E15*1000/60</f>
        <v/>
      </c>
      <c r="G15" s="34" t="n">
        <v>70</v>
      </c>
      <c r="H15" s="34" t="inlineStr"/>
      <c r="I15" s="34" t="inlineStr"/>
    </row>
    <row r="16">
      <c r="A16" s="34" t="inlineStr">
        <is>
          <t>C15</t>
        </is>
      </c>
      <c r="B16" s="34" t="inlineStr">
        <is>
          <t>S2 clip 14</t>
        </is>
      </c>
      <c r="C16" s="34" t="n">
        <v>48</v>
      </c>
      <c r="D16" s="34" t="n">
        <v>51</v>
      </c>
      <c r="E16" s="34">
        <f>D16-C16+1</f>
        <v/>
      </c>
      <c r="F16" s="35">
        <f>E16*1000/60</f>
        <v/>
      </c>
      <c r="G16" s="34" t="n">
        <v>70</v>
      </c>
      <c r="H16" s="34" t="inlineStr"/>
      <c r="I16" s="34" t="inlineStr"/>
    </row>
    <row r="17">
      <c r="A17" s="34" t="inlineStr">
        <is>
          <t>C16</t>
        </is>
      </c>
      <c r="B17" s="34" t="inlineStr">
        <is>
          <t>S2 clip 15</t>
        </is>
      </c>
      <c r="C17" s="34" t="n">
        <v>52</v>
      </c>
      <c r="D17" s="34" t="n">
        <v>55</v>
      </c>
      <c r="E17" s="34">
        <f>D17-C17+1</f>
        <v/>
      </c>
      <c r="F17" s="35">
        <f>E17*1000/60</f>
        <v/>
      </c>
      <c r="G17" s="34" t="n">
        <v>70</v>
      </c>
      <c r="H17" s="34" t="inlineStr"/>
      <c r="I17" s="34" t="inlineStr"/>
    </row>
    <row r="18">
      <c r="A18" s="34" t="inlineStr">
        <is>
          <t>C17</t>
        </is>
      </c>
      <c r="B18" s="34" t="inlineStr">
        <is>
          <t>S2 clip 16</t>
        </is>
      </c>
      <c r="C18" s="34" t="n">
        <v>56</v>
      </c>
      <c r="D18" s="34" t="n">
        <v>59</v>
      </c>
      <c r="E18" s="34">
        <f>D18-C18+1</f>
        <v/>
      </c>
      <c r="F18" s="35">
        <f>E18*1000/60</f>
        <v/>
      </c>
      <c r="G18" s="34" t="n">
        <v>70</v>
      </c>
      <c r="H18" s="34" t="inlineStr"/>
      <c r="I18" s="34" t="inlineStr"/>
    </row>
    <row r="19">
      <c r="A19" s="34" t="inlineStr">
        <is>
          <t>C18</t>
        </is>
      </c>
      <c r="B19" s="34" t="inlineStr">
        <is>
          <t>S2 clip 17</t>
        </is>
      </c>
      <c r="C19" s="34" t="n">
        <v>60</v>
      </c>
      <c r="D19" s="34" t="n">
        <v>64</v>
      </c>
      <c r="E19" s="34">
        <f>D19-C19+1</f>
        <v/>
      </c>
      <c r="F19" s="35">
        <f>E19*1000/60</f>
        <v/>
      </c>
      <c r="G19" s="34" t="n">
        <v>70</v>
      </c>
      <c r="H19" s="34" t="inlineStr"/>
      <c r="I19" s="34" t="inlineStr"/>
    </row>
    <row r="20">
      <c r="A20" s="34" t="inlineStr">
        <is>
          <t>C19</t>
        </is>
      </c>
      <c r="B20" s="34" t="inlineStr">
        <is>
          <t>S2 clip 18</t>
        </is>
      </c>
      <c r="C20" s="34" t="n">
        <v>65</v>
      </c>
      <c r="D20" s="34" t="n">
        <v>67</v>
      </c>
      <c r="E20" s="34">
        <f>D20-C20+1</f>
        <v/>
      </c>
      <c r="F20" s="35">
        <f>E20*1000/60</f>
        <v/>
      </c>
      <c r="G20" s="34" t="n">
        <v>50</v>
      </c>
      <c r="H20" s="34" t="inlineStr">
        <is>
          <t>ยกไม้</t>
        </is>
      </c>
      <c r="I20" s="34" t="inlineStr"/>
    </row>
    <row r="21">
      <c r="A21" s="34" t="inlineStr">
        <is>
          <t>C20</t>
        </is>
      </c>
      <c r="B21" s="34" t="inlineStr">
        <is>
          <t>S2 clip 19</t>
        </is>
      </c>
      <c r="C21" s="34" t="n">
        <v>68</v>
      </c>
      <c r="D21" s="34" t="n">
        <v>70</v>
      </c>
      <c r="E21" s="34">
        <f>D21-C21+1</f>
        <v/>
      </c>
      <c r="F21" s="35">
        <f>E21*1000/60</f>
        <v/>
      </c>
      <c r="G21" s="34" t="n">
        <v>50</v>
      </c>
      <c r="H21" s="34" t="inlineStr"/>
      <c r="I21" s="34" t="inlineStr"/>
    </row>
    <row r="22">
      <c r="A22" s="34" t="inlineStr">
        <is>
          <t>C21</t>
        </is>
      </c>
      <c r="B22" s="34" t="inlineStr">
        <is>
          <t>S2 clip 20</t>
        </is>
      </c>
      <c r="C22" s="34" t="n">
        <v>71</v>
      </c>
      <c r="D22" s="34" t="n">
        <v>73</v>
      </c>
      <c r="E22" s="34">
        <f>D22-C22+1</f>
        <v/>
      </c>
      <c r="F22" s="35">
        <f>E22*1000/60</f>
        <v/>
      </c>
      <c r="G22" s="34" t="n">
        <v>50</v>
      </c>
      <c r="H22" s="34" t="inlineStr"/>
      <c r="I22" s="34" t="inlineStr"/>
    </row>
    <row r="23">
      <c r="A23" s="34" t="inlineStr">
        <is>
          <t>C22</t>
        </is>
      </c>
      <c r="B23" s="34" t="inlineStr">
        <is>
          <t>S2 clip 21</t>
        </is>
      </c>
      <c r="C23" s="34" t="n">
        <v>74</v>
      </c>
      <c r="D23" s="34" t="n">
        <v>76</v>
      </c>
      <c r="E23" s="34">
        <f>D23-C23+1</f>
        <v/>
      </c>
      <c r="F23" s="35">
        <f>E23*1000/60</f>
        <v/>
      </c>
      <c r="G23" s="34" t="n">
        <v>50</v>
      </c>
      <c r="H23" s="34" t="inlineStr">
        <is>
          <t>ง้างตีครั้งที่ 2</t>
        </is>
      </c>
      <c r="I23" s="34" t="inlineStr">
        <is>
          <t>STRIKE_START #2</t>
        </is>
      </c>
    </row>
    <row r="24">
      <c r="A24" s="36" t="inlineStr">
        <is>
          <t>C23</t>
        </is>
      </c>
      <c r="B24" s="36" t="inlineStr">
        <is>
          <t>S2 clip 22</t>
        </is>
      </c>
      <c r="C24" s="36" t="n">
        <v>77</v>
      </c>
      <c r="D24" s="36" t="n">
        <v>82</v>
      </c>
      <c r="E24" s="36">
        <f>D24-C24+1</f>
        <v/>
      </c>
      <c r="F24" s="37">
        <f>E24*1000/60</f>
        <v/>
      </c>
      <c r="G24" s="36" t="n">
        <v>100</v>
      </c>
      <c r="H24" s="36" t="inlineStr">
        <is>
          <t>ตีครั้งที่ 2 (F32)</t>
        </is>
      </c>
      <c r="I24" s="36" t="inlineStr">
        <is>
          <t>VFX_SPAWN #1 · Loop หยุด · HexActivationBurst</t>
        </is>
      </c>
    </row>
    <row r="25">
      <c r="A25" s="36" t="inlineStr">
        <is>
          <t>C24</t>
        </is>
      </c>
      <c r="B25" s="36" t="inlineStr">
        <is>
          <t>S2 clip 23</t>
        </is>
      </c>
      <c r="C25" s="36" t="n">
        <v>83</v>
      </c>
      <c r="D25" s="36" t="n">
        <v>87</v>
      </c>
      <c r="E25" s="36">
        <f>D25-C25+1</f>
        <v/>
      </c>
      <c r="F25" s="37">
        <f>E25*1000/60</f>
        <v/>
      </c>
      <c r="G25" s="36" t="n">
        <v>90</v>
      </c>
      <c r="H25" s="36" t="inlineStr">
        <is>
          <t>ค้าง = burst peak</t>
        </is>
      </c>
      <c r="I25" s="36" t="inlineStr">
        <is>
          <t>DAMAGE · Slow · ATK/Cast down · Root ถ้ามี Hex Mark</t>
        </is>
      </c>
    </row>
    <row r="26">
      <c r="A26" s="38" t="inlineStr">
        <is>
          <t>C25</t>
        </is>
      </c>
      <c r="B26" s="38" t="inlineStr">
        <is>
          <t>S2 clip 24</t>
        </is>
      </c>
      <c r="C26" s="38" t="n">
        <v>88</v>
      </c>
      <c r="D26" s="38" t="n">
        <v>91</v>
      </c>
      <c r="E26" s="38">
        <f>D26-C26+1</f>
        <v/>
      </c>
      <c r="F26" s="39">
        <f>E26*1000/60</f>
        <v/>
      </c>
      <c r="G26" s="38" t="n">
        <v>70</v>
      </c>
      <c r="H26" s="38" t="inlineStr">
        <is>
          <t>กลับท่า</t>
        </is>
      </c>
      <c r="I26" s="38" t="inlineStr">
        <is>
          <t>RECOVERY_START</t>
        </is>
      </c>
    </row>
    <row r="27">
      <c r="A27" s="38" t="inlineStr">
        <is>
          <t>C26</t>
        </is>
      </c>
      <c r="B27" s="38" t="inlineStr">
        <is>
          <t>S2 clip 25</t>
        </is>
      </c>
      <c r="C27" s="38" t="n">
        <v>92</v>
      </c>
      <c r="D27" s="38" t="n">
        <v>95</v>
      </c>
      <c r="E27" s="38">
        <f>D27-C27+1</f>
        <v/>
      </c>
      <c r="F27" s="39">
        <f>E27*1000/60</f>
        <v/>
      </c>
      <c r="G27" s="38" t="n">
        <v>70</v>
      </c>
      <c r="H27" s="38" t="inlineStr"/>
      <c r="I27" s="38" t="inlineStr"/>
    </row>
    <row r="28">
      <c r="A28" s="38" t="inlineStr">
        <is>
          <t>C27</t>
        </is>
      </c>
      <c r="B28" s="38" t="inlineStr">
        <is>
          <t>S2 clip 26</t>
        </is>
      </c>
      <c r="C28" s="38" t="n">
        <v>96</v>
      </c>
      <c r="D28" s="38" t="n">
        <v>100</v>
      </c>
      <c r="E28" s="38">
        <f>D28-C28+1</f>
        <v/>
      </c>
      <c r="F28" s="39">
        <f>E28*1000/60</f>
        <v/>
      </c>
      <c r="G28" s="38" t="n">
        <v>70</v>
      </c>
      <c r="H28" s="38" t="inlineStr"/>
      <c r="I28" s="38" t="inlineStr"/>
    </row>
    <row r="29">
      <c r="A29" s="38" t="inlineStr">
        <is>
          <t>C28</t>
        </is>
      </c>
      <c r="B29" s="38" t="inlineStr">
        <is>
          <t>S2 clip 27</t>
        </is>
      </c>
      <c r="C29" s="38" t="n">
        <v>101</v>
      </c>
      <c r="D29" s="38" t="n">
        <v>104</v>
      </c>
      <c r="E29" s="38">
        <f>D29-C29+1</f>
        <v/>
      </c>
      <c r="F29" s="39">
        <f>E29*1000/60</f>
        <v/>
      </c>
      <c r="G29" s="38" t="n">
        <v>70</v>
      </c>
      <c r="H29" s="38" t="inlineStr"/>
      <c r="I29" s="38" t="inlineStr"/>
    </row>
    <row r="30">
      <c r="A30" s="38" t="inlineStr">
        <is>
          <t>C29</t>
        </is>
      </c>
      <c r="B30" s="38" t="inlineStr">
        <is>
          <t>S2 clip 28</t>
        </is>
      </c>
      <c r="C30" s="38" t="n">
        <v>105</v>
      </c>
      <c r="D30" s="38" t="n">
        <v>108</v>
      </c>
      <c r="E30" s="38">
        <f>D30-C30+1</f>
        <v/>
      </c>
      <c r="F30" s="39">
        <f>E30*1000/60</f>
        <v/>
      </c>
      <c r="G30" s="38" t="n">
        <v>70</v>
      </c>
      <c r="H30" s="38" t="inlineStr"/>
      <c r="I30" s="38" t="inlineStr"/>
    </row>
    <row r="31">
      <c r="A31" s="38" t="inlineStr">
        <is>
          <t>C30</t>
        </is>
      </c>
      <c r="B31" s="38" t="inlineStr">
        <is>
          <t>S2 clip 29</t>
        </is>
      </c>
      <c r="C31" s="38" t="n">
        <v>109</v>
      </c>
      <c r="D31" s="38" t="n">
        <v>113</v>
      </c>
      <c r="E31" s="38">
        <f>D31-C31+1</f>
        <v/>
      </c>
      <c r="F31" s="39">
        <f>E31*1000/60</f>
        <v/>
      </c>
      <c r="G31" s="38" t="n">
        <v>80</v>
      </c>
      <c r="H31" s="38" t="inlineStr">
        <is>
          <t>กลับท่ายืน</t>
        </is>
      </c>
      <c r="I31" s="38" t="inlineStr">
        <is>
          <t>ท่าจบ</t>
        </is>
      </c>
    </row>
    <row r="32">
      <c r="A32" s="38" t="inlineStr">
        <is>
          <t>C31</t>
        </is>
      </c>
      <c r="B32" s="38" t="inlineStr">
        <is>
          <t>idle</t>
        </is>
      </c>
      <c r="C32" s="38" t="n">
        <v>114</v>
      </c>
      <c r="D32" s="38" t="n">
        <v>121</v>
      </c>
      <c r="E32" s="38">
        <f>D32-C32+1</f>
        <v/>
      </c>
      <c r="F32" s="39">
        <f>E32*1000/60</f>
        <v/>
      </c>
      <c r="G32" s="38" t="inlineStr"/>
      <c r="H32" s="38" t="inlineStr">
        <is>
          <t>idle</t>
        </is>
      </c>
      <c r="I32" s="38" t="inlineStr">
        <is>
          <t>ต่อ idle</t>
        </is>
      </c>
    </row>
    <row r="33">
      <c r="D33" s="40" t="inlineStr">
        <is>
          <t>รวม</t>
        </is>
      </c>
      <c r="E33" s="40">
        <f>SUM(E2:E32)</f>
        <v/>
      </c>
      <c r="F33" s="41">
        <f>SUM(F2:F32)</f>
        <v/>
      </c>
      <c r="G33" s="40">
        <f>SUM(G2:G32)</f>
        <v/>
      </c>
    </row>
    <row r="34">
      <c r="A34" s="42" t="inlineStr">
        <is>
          <t>Game ms = steps ของท่า skill2 ใน SHEETS hero-mordrienne.png · VFX วางบนพื้นกลางพื้นที่ 2 × 2 (SQUARE_2) จุดเดียวกันทั้ง 3 ชั้น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20" customWidth="1" min="5" max="5"/>
    <col width="34" customWidth="1" min="6" max="6"/>
    <col width="40" customWidth="1" min="7" max="7"/>
    <col width="60" customWidth="1" min="8" max="8"/>
  </cols>
  <sheetData>
    <row r="1" ht="34" customHeight="1">
      <c r="A1" s="3" t="inlineStr">
        <is>
          <t>Track</t>
        </is>
      </c>
      <c r="B1" s="3" t="inlineStr">
        <is>
          <t>ชื่อ</t>
        </is>
      </c>
      <c r="C1" s="3" t="inlineStr">
        <is>
          <t>แผ่น (เฟรม)</t>
        </is>
      </c>
      <c r="D1" s="3" t="inlineStr">
        <is>
          <t>แสดง T</t>
        </is>
      </c>
      <c r="E1" s="3" t="inlineStr">
        <is>
          <t>เฟรมที่ใช้</t>
        </is>
      </c>
      <c r="F1" s="3" t="inlineStr">
        <is>
          <t>ชั้น</t>
        </is>
      </c>
      <c r="G1" s="3" t="inlineStr">
        <is>
          <t>จุดยึด</t>
        </is>
      </c>
      <c r="H1" s="3" t="inlineStr">
        <is>
          <t>หมายเหตุ</t>
        </is>
      </c>
    </row>
    <row r="2">
      <c r="A2" s="43" t="inlineStr">
        <is>
          <t>spawn</t>
        </is>
      </c>
      <c r="B2" s="44" t="inlineStr">
        <is>
          <t>Hex Spawn</t>
        </is>
      </c>
      <c r="C2" s="44" t="inlineStr">
        <is>
          <t>fx-mordrienne-s2-spawn (9 × 27.8 ms)</t>
        </is>
      </c>
      <c r="D2" s="44" t="inlineStr">
        <is>
          <t>024–039</t>
        </is>
      </c>
      <c r="E2" s="44" t="inlineStr">
        <is>
          <t>1, 2, 3, 4, 5, 6, 7, 8, 9</t>
        </is>
      </c>
      <c r="F2" s="44" t="inlineStr">
        <is>
          <t>under</t>
        </is>
      </c>
      <c r="G2" s="44" t="inlineStr">
        <is>
          <t>กลางพื้นที่ 2 × 2 บนพื้น</t>
        </is>
      </c>
      <c r="H2" s="44" t="inlineStr">
        <is>
          <t>T024 วงเล็ก → วงเต็ม f7 → T038 จบพอดีตอนควง</t>
        </is>
      </c>
    </row>
    <row r="3">
      <c r="A3" s="45" t="inlineStr">
        <is>
          <t>loop</t>
        </is>
      </c>
      <c r="B3" s="44" t="inlineStr">
        <is>
          <t>Hex Loop</t>
        </is>
      </c>
      <c r="C3" s="44" t="inlineStr">
        <is>
          <t>fx-mordrienne-s2-loop (8 × 77.5 ms)</t>
        </is>
      </c>
      <c r="D3" s="44" t="inlineStr">
        <is>
          <t>039–076</t>
        </is>
      </c>
      <c r="E3" s="44" t="inlineStr">
        <is>
          <t>1, 2, 3, 4, 5, 6, 7, 8</t>
        </is>
      </c>
      <c r="F3" s="44" t="inlineStr">
        <is>
          <t>under</t>
        </is>
      </c>
      <c r="G3" s="44" t="inlineStr">
        <is>
          <t>จุดเดียวกัน</t>
        </is>
      </c>
      <c r="H3" s="44" t="inlineStr">
        <is>
          <t>T039 → T075 หนึ่งรอบหายใจ · หยุดทันทีที่ตีครั้งที่ 2</t>
        </is>
      </c>
    </row>
    <row r="4">
      <c r="A4" s="46" t="inlineStr">
        <is>
          <t>burst</t>
        </is>
      </c>
      <c r="B4" s="44" t="inlineStr">
        <is>
          <t>Activation Burst</t>
        </is>
      </c>
      <c r="C4" s="44" t="inlineStr">
        <is>
          <t>fx-mordrienne-s2-burst (8 × 50 ms + fade 150)</t>
        </is>
      </c>
      <c r="D4" s="44" t="inlineStr">
        <is>
          <t>077–109</t>
        </is>
      </c>
      <c r="E4" s="44" t="inlineStr">
        <is>
          <t>1, 2, 3, 4, 5, 6, 7, 8</t>
        </is>
      </c>
      <c r="F4" s="44" t="inlineStr">
        <is>
          <t>over</t>
        </is>
      </c>
      <c r="G4" s="44" t="inlineStr">
        <is>
          <t>จุดเดียวกัน</t>
        </is>
      </c>
      <c r="H4" s="44" t="inlineStr">
        <is>
          <t>T076 ปะทุ → peak f3 T082 = ดาเมจ → สลาย f8 → หมด T109</t>
        </is>
      </c>
    </row>
    <row r="5">
      <c r="A5" s="47" t="inlineStr">
        <is>
          <t>tip</t>
        </is>
      </c>
      <c r="B5" s="44" t="inlineStr">
        <is>
          <t>Wand Flash</t>
        </is>
      </c>
      <c r="C5" s="44" t="inlineStr">
        <is>
          <t>fx-mordrienne-s2-tip (7 × 35 ms + fade 80)</t>
        </is>
      </c>
      <c r="D5" s="44" t="inlineStr">
        <is>
          <t>024–043, 077–095</t>
        </is>
      </c>
      <c r="E5" s="44" t="inlineStr">
        <is>
          <t>1, 2, 3, 4, 5, 6, 7</t>
        </is>
      </c>
      <c r="F5" s="44" t="inlineStr">
        <is>
          <t>over</t>
        </is>
      </c>
      <c r="G5" s="44" t="inlineStr">
        <is>
          <t>ปลายคทาท่าตี</t>
        </is>
      </c>
      <c r="H5" s="44" t="inlineStr">
        <is>
          <t>แสงเขียวที่ปลายคทาตอนตีทั้ง 2 ครั้ง T024 / T076</t>
        </is>
      </c>
    </row>
    <row r="6">
      <c r="A6" s="48" t="inlineStr">
        <is>
          <t>events</t>
        </is>
      </c>
      <c r="B6" s="44" t="inlineStr">
        <is>
          <t>อีเวนต์</t>
        </is>
      </c>
      <c r="C6" s="44" t="inlineStr">
        <is>
          <t>engine</t>
        </is>
      </c>
      <c r="D6" s="44" t="inlineStr"/>
      <c r="E6" s="44" t="inlineStr"/>
      <c r="F6" s="44" t="inlineStr">
        <is>
          <t>-</t>
        </is>
      </c>
      <c r="G6" s="44" t="inlineStr">
        <is>
          <t>-</t>
        </is>
      </c>
      <c r="H6" s="44" t="inlineStr">
        <is>
          <t>DAMAGE ครั้งเดียวที่ burst peak · ไม่มี impact VFX ซ้ำ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90" customWidth="1" min="4" max="4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Event</t>
        </is>
      </c>
      <c r="D1" s="3" t="inlineStr">
        <is>
          <t>หมายเหตุ</t>
        </is>
      </c>
    </row>
    <row r="2">
      <c r="A2" s="49" t="n">
        <v>0</v>
      </c>
      <c r="B2" s="50">
        <f>A2*1000/60</f>
        <v/>
      </c>
      <c r="C2" s="49" t="inlineStr">
        <is>
          <t>IDLE</t>
        </is>
      </c>
      <c r="D2" s="49" t="inlineStr">
        <is>
          <t>C01</t>
        </is>
      </c>
    </row>
    <row r="3">
      <c r="A3" s="49" t="n">
        <v>3</v>
      </c>
      <c r="B3" s="50">
        <f>A3*1000/60</f>
        <v/>
      </c>
      <c r="C3" s="49" t="inlineStr">
        <is>
          <t>CAST_START</t>
        </is>
      </c>
      <c r="D3" s="49" t="inlineStr">
        <is>
          <t>C02 เริ่มท่า</t>
        </is>
      </c>
    </row>
    <row r="4">
      <c r="A4" s="49" t="n">
        <v>21</v>
      </c>
      <c r="B4" s="50">
        <f>A4*1000/60</f>
        <v/>
      </c>
      <c r="C4" s="49" t="inlineStr">
        <is>
          <t>STRIKE_START #1</t>
        </is>
      </c>
      <c r="D4" s="49" t="inlineStr">
        <is>
          <t>C08</t>
        </is>
      </c>
    </row>
    <row r="5">
      <c r="A5" s="49" t="n">
        <v>24</v>
      </c>
      <c r="B5" s="50">
        <f>A5*1000/60</f>
        <v/>
      </c>
      <c r="C5" s="49" t="inlineStr">
        <is>
          <t>STRIKE 1 · HEX SPAWN</t>
        </is>
      </c>
      <c r="D5" s="49" t="inlineStr">
        <is>
          <t>C09 · วงเฮ็กซ์เกิดบนพื้น (ไม่ติดตัว)</t>
        </is>
      </c>
    </row>
    <row r="6">
      <c r="A6" s="49" t="n">
        <v>39</v>
      </c>
      <c r="B6" s="50">
        <f>A6*1000/60</f>
        <v/>
      </c>
      <c r="C6" s="49" t="inlineStr">
        <is>
          <t>CHARGE_START · HEX LOOP</t>
        </is>
      </c>
      <c r="D6" s="49" t="inlineStr">
        <is>
          <t>C13 ควงไม้ · วงชาร์จ</t>
        </is>
      </c>
    </row>
    <row r="7">
      <c r="A7" s="49" t="n">
        <v>73</v>
      </c>
      <c r="B7" s="50">
        <f>A7*1000/60</f>
        <v/>
      </c>
      <c r="C7" s="49" t="inlineStr">
        <is>
          <t>STRIKE_START #2</t>
        </is>
      </c>
      <c r="D7" s="49" t="inlineStr">
        <is>
          <t>C22</t>
        </is>
      </c>
    </row>
    <row r="8">
      <c r="A8" s="49" t="n">
        <v>76</v>
      </c>
      <c r="B8" s="50">
        <f>A8*1000/60</f>
        <v/>
      </c>
      <c r="C8" s="49" t="inlineStr">
        <is>
          <t>STRIKE 2 · ACTIVATION</t>
        </is>
      </c>
      <c r="D8" s="49" t="inlineStr">
        <is>
          <t>C23 · loop หยุดทันที · burst เกิด</t>
        </is>
      </c>
    </row>
    <row r="9">
      <c r="A9" s="51" t="n">
        <v>82</v>
      </c>
      <c r="B9" s="52">
        <f>A9*1000/60</f>
        <v/>
      </c>
      <c r="C9" s="51" t="inlineStr">
        <is>
          <t>DAMAGE (magic AoE)</t>
        </is>
      </c>
      <c r="D9" s="51" t="inlineStr">
        <is>
          <t>burst peak f3</t>
        </is>
      </c>
    </row>
    <row r="10">
      <c r="A10" s="49" t="n">
        <v>82</v>
      </c>
      <c r="B10" s="50">
        <f>A10*1000/60</f>
        <v/>
      </c>
      <c r="C10" s="49" t="inlineStr">
        <is>
          <t>SLOW · ATK/CAST DOWN · ROOT*</t>
        </is>
      </c>
      <c r="D10" s="49" t="inlineStr">
        <is>
          <t>*เฉพาะเป้าที่ติด Hex Mark</t>
        </is>
      </c>
    </row>
    <row r="11">
      <c r="A11" s="49" t="n">
        <v>88</v>
      </c>
      <c r="B11" s="50">
        <f>A11*1000/60</f>
        <v/>
      </c>
      <c r="C11" s="49" t="inlineStr">
        <is>
          <t>RECOVERY_START</t>
        </is>
      </c>
      <c r="D11" s="49" t="inlineStr">
        <is>
          <t>C25</t>
        </is>
      </c>
    </row>
    <row r="12">
      <c r="A12" s="49" t="n">
        <v>113</v>
      </c>
      <c r="B12" s="50">
        <f>A12*1000/60</f>
        <v/>
      </c>
      <c r="C12" s="49" t="inlineStr">
        <is>
          <t>IDLE</t>
        </is>
      </c>
      <c r="D12" s="49" t="inlineStr">
        <is>
          <t>clip end 1.89s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</cols>
  <sheetData>
    <row r="1" ht="34" customHeight="1">
      <c r="A1" s="3" t="inlineStr">
        <is>
          <t>Layer</t>
        </is>
      </c>
      <c r="B1" s="3" t="inlineStr">
        <is>
          <t>เนื้อหา</t>
        </is>
      </c>
    </row>
    <row r="2">
      <c r="A2" s="53" t="inlineStr">
        <is>
          <t>L1</t>
        </is>
      </c>
      <c r="B2" s="53" t="inlineStr">
        <is>
          <t>Hex Spawn / Loop (ใต้ตัวละคร)</t>
        </is>
      </c>
    </row>
    <row r="3">
      <c r="A3" s="53" t="inlineStr">
        <is>
          <t>L2</t>
        </is>
      </c>
      <c r="B3" s="53" t="inlineStr">
        <is>
          <t>ตัวละคร (L1)</t>
        </is>
      </c>
    </row>
    <row r="4">
      <c r="A4" s="53" t="inlineStr">
        <is>
          <t>L3</t>
        </is>
      </c>
      <c r="B4" s="53" t="inlineStr">
        <is>
          <t>Activation Burst (L4)</t>
        </is>
      </c>
    </row>
    <row r="5">
      <c r="A5" s="53" t="inlineStr">
        <is>
          <t>L4</t>
        </is>
      </c>
      <c r="B5" s="53" t="inlineStr">
        <is>
          <t>Wand-tip Flash (L5)</t>
        </is>
      </c>
    </row>
    <row r="6">
      <c r="A6" s="53" t="inlineStr">
        <is>
          <t>L5</t>
        </is>
      </c>
      <c r="B6" s="53" t="inlineStr">
        <is>
          <t>อีเวนต์ (L6)</t>
        </is>
      </c>
    </row>
    <row r="8">
      <c r="A8" t="inlineStr"/>
      <c r="B8" s="54" t="inlineStr">
        <is>
          <t>หน้าตัวละครกับปลายอาวุธถูกเว้นออกจาก L5 ทุกเฟรม (เอฟเฟกต์ไม่บังหน้า/ปลายอาวุธ)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2026-10-26T17:11:10Z</dcterms:created>
  <dcterms:modified xmlns:dcterms="http://purl.org/dc/terms/" xmlns:xsi="http://www.w3.org/2001/XMLSchema-instance" xsi:type="dcterms:W3CDTF">2026-10-26T17:11:10Z</dcterms:modified>
</cp:coreProperties>
</file>